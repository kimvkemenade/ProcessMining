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0193000\Downloads\"/>
    </mc:Choice>
  </mc:AlternateContent>
  <xr:revisionPtr revIDLastSave="0" documentId="13_ncr:1_{92A7D30F-B55D-4935-9482-B56678A3768D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Data" sheetId="1" r:id="rId1"/>
    <sheet name="Resource-Activity Matrix by han" sheetId="2" r:id="rId2"/>
    <sheet name="Actual Resource-Activity Matrix" sheetId="3" r:id="rId3"/>
    <sheet name="Handover Matrix by hand" sheetId="4" r:id="rId4"/>
    <sheet name="Actual Handover Matrix from co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0" i="4" l="1"/>
  <c r="F39" i="4"/>
  <c r="F38" i="4"/>
  <c r="S37" i="4"/>
  <c r="X36" i="4"/>
  <c r="X35" i="4"/>
  <c r="AI34" i="4"/>
  <c r="D33" i="4"/>
  <c r="Y31" i="4"/>
  <c r="Z30" i="4"/>
  <c r="F29" i="4"/>
  <c r="I27" i="4"/>
  <c r="AB26" i="4"/>
  <c r="T26" i="4"/>
  <c r="AK25" i="4"/>
  <c r="X25" i="4"/>
  <c r="P25" i="4"/>
  <c r="AF24" i="4"/>
  <c r="Z24" i="4"/>
  <c r="H24" i="4"/>
  <c r="F23" i="4"/>
  <c r="N22" i="4"/>
  <c r="G22" i="4"/>
  <c r="J21" i="4"/>
  <c r="C21" i="4"/>
  <c r="T19" i="4"/>
  <c r="O19" i="4"/>
  <c r="L19" i="4"/>
  <c r="S18" i="4"/>
  <c r="M17" i="4"/>
  <c r="I17" i="4"/>
  <c r="G17" i="4"/>
  <c r="F17" i="4"/>
  <c r="V16" i="4"/>
  <c r="Q16" i="4"/>
  <c r="Z14" i="4"/>
  <c r="K14" i="4"/>
  <c r="R13" i="4"/>
  <c r="N13" i="4"/>
  <c r="M12" i="4"/>
  <c r="AB11" i="4"/>
  <c r="O11" i="4"/>
  <c r="L11" i="4"/>
  <c r="AA10" i="4"/>
  <c r="Y10" i="4"/>
  <c r="Q10" i="4"/>
  <c r="P10" i="4"/>
  <c r="G10" i="4"/>
  <c r="AD9" i="4"/>
  <c r="Q9" i="4"/>
  <c r="H9" i="4"/>
  <c r="I8" i="4"/>
  <c r="Z7" i="4"/>
  <c r="K7" i="4"/>
  <c r="H7" i="4"/>
  <c r="AN6" i="4"/>
  <c r="AM6" i="4"/>
  <c r="AJ6" i="4"/>
  <c r="X6" i="4"/>
  <c r="N6" i="4"/>
  <c r="G6" i="4"/>
  <c r="F5" i="4"/>
  <c r="AH4" i="4"/>
  <c r="E4" i="4"/>
  <c r="Y3" i="4"/>
  <c r="V3" i="4"/>
  <c r="P3" i="4"/>
  <c r="J3" i="4"/>
  <c r="D3" i="4"/>
  <c r="AL2" i="4"/>
  <c r="AG2" i="4"/>
  <c r="AE2" i="4"/>
  <c r="AC2" i="4"/>
  <c r="Y2" i="4"/>
  <c r="U2" i="4"/>
  <c r="J2" i="4"/>
  <c r="C2" i="4"/>
  <c r="AK28" i="2"/>
  <c r="O27" i="2"/>
  <c r="AK26" i="2"/>
  <c r="AI26" i="2"/>
  <c r="AA26" i="2"/>
  <c r="AI19" i="2"/>
  <c r="AA19" i="2"/>
  <c r="AK15" i="2"/>
  <c r="AI12" i="2"/>
  <c r="N10" i="2"/>
  <c r="M10" i="2"/>
  <c r="J10" i="2"/>
  <c r="AK8" i="2"/>
  <c r="AB8" i="2"/>
</calcChain>
</file>

<file path=xl/sharedStrings.xml><?xml version="1.0" encoding="utf-8"?>
<sst xmlns="http://schemas.openxmlformats.org/spreadsheetml/2006/main" count="3247" uniqueCount="124">
  <si>
    <t>case_id</t>
  </si>
  <si>
    <t>log_events</t>
  </si>
  <si>
    <t>Application_1193723578</t>
  </si>
  <si>
    <t>[['start', 'User_1'], ['A-Create-Application', 'User_1'], ['A-Submitted', 'User_1'], ['W-Handle-leads-schedule', 'User_1'], ['W-Handle-leads-withdraw', 'User_1'], ['W-Complete-application-schedule', 'User_1'], ['A-Concept', 'User_1'], ['W-Complete-application-start', 'User_38'], ['W-Complete-application-suspend', 'User_38'], ['W-Complete-application-resume', 'User_7'], ['A-Accepted', 'User_7'], ['O-Create-Offer', 'User_7'], ['O-Created', 'User_7'], ['O-Sent-mail-and-online', 'User_7'], ['W-Complete-application-complete', 'User_7'], ['W-Call-after-offers-schedule', 'User_7'], ['W-Call-after-offers-start', 'User_7'], ['A-Complete', 'User_7'], ['W-Call-after-offers-suspend', 'User_7'], ['O-Create-Offer', 'User_4'], ['O-Created', 'User_4'], ['O-Sent-mail-and-online', 'User_4'], ['W-Call-after-offers-resume', 'User_15'], ['W-Call-after-offers-suspend', 'User_15'], ['W-Call-after-offers-ate-abort', 'User_113'], ['W-Validate-application-schedule', 'User_113'], ['W-Validate-application-start', 'User_113'], ['A-Validating', 'User_113'], ['O-Returned', 'User_113'], ['W-Validate-application-suspend', 'User_113'], ['W-Validate-application-ate-abort', 'User_100'], ['W-Call-incomplete-files-schedule', 'User_100'], ['W-Call-incomplete-files-start', 'User_100'], ['A-Incomplete', 'User_100'], ['W-Call-incomplete-files-suspend', 'User_100'], ['W-Call-incomplete-files-resume', 'User_2'], ['W-Call-incomplete-files-suspend', 'User_2'], ['W-Call-incomplete-files-ate-abort', 'User_2'], ['W-Validate-application-schedule', 'User_2'], ['W-Validate-application-start', 'User_2'], ['A-Validating', 'User_2'], ['W-Validate-application-suspend', 'User_2'], ['W-Validate-application-resume', 'User_100'], ['W-Validate-application-suspend', 'User_100'], ['A-Denied', 'User_100'], ['O-Refused', 'User_100'], ['O-Refused', 'User_100'], ['W-Validate-application-ate-abort', 'User_100'], ['end', 'User_100']]"</t>
  </si>
  <si>
    <t>Application_1300843234</t>
  </si>
  <si>
    <t>[['start', 'User_1'], ['A-Create-Application', 'User_1'], ['A-Submitted', 'User_1'], ['W-Handle-leads-schedule', 'User_1'], ['W-Handle-leads-withdraw', 'User_1'], ['W-Complete-application-schedule', 'User_1'], ['A-Concept', 'User_1'], ['W-Complete-application-start', 'User_38'], ['W-Complete-application-suspend', 'User_38'], ['A-Accepted', 'User_16'], ['O-Create-Offer', 'User_16'], ['O-Created', 'User_16'], ['O-Create-Offer', 'User_16'], ['O-Created', 'User_16'], ['O-Sent-mail-and-online', 'User_16'], ['W-Complete-application-ate-abort', 'User_16'], ['W-Call-after-offers-schedule', 'User_16'], ['W-Call-after-offers-start', 'User_16'], ['A-Complete', 'User_16'], ['W-Call-after-offers-suspend', 'User_16'], ['W-Call-after-offers-ate-abort', 'User_113'], ['W-Validate-application-schedule', 'User_113'], ['W-Validate-application-start', 'User_113'], ['A-Validating', 'User_113'], ['O-Returned', 'User_113'], ['W-Validate-application-suspend', 'User_113'], ['W-Validate-application-ate-abort', 'User_30'], ['W-Call-incomplete-files-schedule', 'User_30'], ['W-Call-incomplete-files-start', 'User_30'], ['A-Incomplete', 'User_30'], ['W-Call-incomplete-files-suspend', 'User_30'], ['W-Call-incomplete-files-resume', 'User_68'], ['W-Call-incomplete-files-suspend', 'User_68'], ['W-Call-incomplete-files-resume', 'User_21'], ['W-Call-incomplete-files-suspend', 'User_21'], ['W-Call-incomplete-files-ate-abort', 'User_119'], ['W-Validate-application-schedule', 'User_119'], ['W-Validate-application-start', 'User_119'], ['A-Validating', 'User_119'], ['W-Validate-application-suspend', 'User_119'], ['W-Validate-application-resume', 'User_30'], ['W-Validate-application-suspend', 'User_30'], ['A-Denied', 'User_75'], ['O-Refused', 'User_75'], ['O-Refused', 'User_75'], ['W-Validate-application-ate-abort', 'User_75'], ['end', 'User_75']]"</t>
  </si>
  <si>
    <t>Application_167944225</t>
  </si>
  <si>
    <t>[['start', 'User_1'], ['A-Create-Application', 'User_1'], ['A-Submitted', 'User_1'], ['W-Handle-leads-schedule', 'User_1'], ['W-Handle-leads-withdraw', 'User_1'], ['W-Complete-application-schedule', 'User_1'], ['A-Concept', 'User_1'], ['W-Complete-application-start', 'User_16'], ['W-Complete-application-suspend', 'User_16'], ['W-Complete-application-resume', 'User_16'], ['W-Complete-application-suspend', 'User_16'], ['W-Complete-application-resume', 'User_3'], ['W-Complete-application-suspend', 'User_3'], ['A-Accepted', 'User_10'], ['O-Create-Offer', 'User_10'], ['O-Created', 'User_10'], ['O-Sent-mail-and-online', 'User_10'], ['W-Complete-application-ate-abort', 'User_10'], ['W-Call-after-offers-schedule', 'User_10'], ['W-Call-after-offers-start', 'User_10'], ['A-Complete', 'User_10'], ['W-Call-after-offers-suspend', 'User_10'], ['W-Call-after-offers-resume', 'User_21'], ['W-Call-after-offers-suspend', 'User_21'], ['W-Call-after-offers-ate-abort', 'User_112'], ['W-Validate-application-schedule', 'User_112'], ['W-Validate-application-start', 'User_112'], ['A-Validating', 'User_112'], ['O-Returned', 'User_112'], ['W-Validate-application-suspend', 'User_112'], ['W-Validate-application-resume', 'User_102'], ['W-Validate-application-suspend', 'User_102'], ['A-Denied', 'User_99'], ['O-Refused', 'User_99'], ['W-Validate-application-ate-abort', 'User_99'], ['end', 'User_99']]"</t>
  </si>
  <si>
    <t>Application_1691306052</t>
  </si>
  <si>
    <t>[['start', 'User_1'], ['A-Create-Application', 'User_1'], ['A-Submitted', 'User_1'], ['W-Handle-leads-schedule', 'User_1'], ['W-Handle-leads-withdraw', 'User_1'], ['W-Complete-application-schedule', 'User_1'], ['A-Concept', 'User_1'], ['W-Complete-application-start', 'User_17'], ['W-Complete-application-suspend', 'User_17'], ['W-Complete-application-resume', 'User_38'], ['A-Accepted', 'User_38'], ['O-Create-Offer', 'User_38'], ['O-Created', 'User_38'], ['O-Sent-mail-and-online', 'User_38'], ['W-Complete-application-complete', 'User_38'], ['W-Call-after-offers-schedule', 'User_38'], ['W-Call-after-offers-start', 'User_38'], ['A-Complete', 'User_38'], ['W-Call-after-offers-suspend', 'User_38'], ['W-Call-after-offers-resume', 'User_11'], ['W-Call-after-offers-suspend', 'User_11'], ['W-Call-after-offers-ate-abort', 'User_119'], ['W-Validate-application-schedule', 'User_119'], ['W-Validate-application-start', 'User_119'], ['A-Validating', 'User_119'], ['W-Validate-application-suspend', 'User_119'], ['W-Validate-application-resume', 'User_30'], ['W-Validate-application-suspend', 'User_30'], ['W-Validate-application-resume', 'User_68'], ['A-Denied', 'User_68'], ['O-Refused', 'User_68'], ['W-Validate-application-complete', 'User_68'], ['end', 'User_68']]"</t>
  </si>
  <si>
    <t>Application_1696031128</t>
  </si>
  <si>
    <t>[['start', 'User_43'], ['A-Create-Application', 'User_43'], ['A-Concept', 'User_43'], ['W-Complete-application-schedule', 'User_43'], ['W-Complete-application-start', 'User_43'], ['A-Accepted', 'User_43'], ['W-Complete-application-suspend', 'User_43'], ['O-Create-Offer', 'User_43'], ['O-Created', 'User_43'], ['O-Sent-mail-and-online', 'User_43'], ['W-Complete-application-ate-abort', 'User_43'], ['W-Call-after-offers-schedule', 'User_43'], ['W-Call-after-offers-start', 'User_43'], ['A-Complete', 'User_43'], ['W-Call-after-offers-suspend', 'User_43'], ['W-Call-after-offers-resume', 'User_15'], ['W-Call-after-offers-suspend', 'User_15'], ['W-Call-after-offers-ate-abort', 'User_117'], ['W-Validate-application-schedule', 'User_117'], ['W-Validate-application-start', 'User_117'], ['A-Validating', 'User_117'], ['O-Returned', 'User_117'], ['W-Validate-application-suspend', 'User_117'], ['A-Denied', 'User_100'], ['O-Refused', 'User_100'], ['W-Validate-application-ate-abort', 'User_100'], ['end', 'User_100']]"</t>
  </si>
  <si>
    <t>Application_1806387393</t>
  </si>
  <si>
    <t>[['start', 'User_1'], ['A-Create-Application', 'User_1'], ['A-Submitted', 'User_1'], ['W-Handle-leads-schedule', 'User_1'], ['W-Handle-leads-start', 'User_17'], ['W-Handle-leads-complete', 'User_17'], ['W-Complete-application-schedule', 'User_17'], ['W-Complete-application-start', 'User_17'], ['A-Concept', 'User_17'], ['W-Complete-application-suspend', 'User_17'], ['W-Complete-application-resume', 'User_38'], ['W-Complete-application-start', 'User_38'], ['A-Accepted', 'User_38'], ['O-Create-Offer', 'User_38'], ['O-Created', 'User_38'], ['O-Sent-mail-and-online', 'User_38'], ['W-Complete-application-complete', 'User_38'], ['W-Call-after-offers-schedule', 'User_38'], ['W-Call-after-offers-start', 'User_38'], ['A-Complete', 'User_38'], ['W-Call-after-offers-suspend', 'User_38'], ['W-Call-after-offers-resume', 'User_20'], ['W-Call-after-offers-suspend', 'User_20'], ['W-Call-after-offers-ate-abort', 'User_117'], ['W-Validate-application-schedule', 'User_117'], ['W-Validate-application-start', 'User_117'], ['A-Validating', 'User_117'], ['O-Returned', 'User_117'], ['W-Validate-application-suspend', 'User_117'], ['W-Validate-application-resume', 'User_95'], ['W-Validate-application-suspend', 'User_95'], ['W-Validate-application-resume', 'User_95'], ['W-Validate-application-suspend', 'User_95'], ['W-Validate-application-resume', 'User_95'], ['W-Validate-application-suspend', 'User_95'], ['W-Validate-application-resume', 'User_95'], ['A-Denied', 'User_95'], ['O-Refused', 'User_95'], ['W-Validate-application-complete', 'User_95'], ['end', 'User_95']]"</t>
  </si>
  <si>
    <t>Application_1878239836</t>
  </si>
  <si>
    <t>[['start', 'User_1'], ['A-Create-Application', 'User_1'], ['A-Submitted', 'User_1'], ['W-Handle-leads-schedule', 'User_1'], ['W-Handle-leads-withdraw', 'User_1'], ['W-Complete-application-schedule', 'User_1'], ['A-Concept', 'User_1'], ['W-Complete-application-start', 'User_38'], ['W-Complete-application-suspend', 'User_38'], ['W-Complete-application-resume', 'User_3'], ['A-Accepted', 'User_3'], ['O-Create-Offer', 'User_3'], ['O-Created', 'User_3'], ['O-Sent-mail-and-online', 'User_3'], ['W-Complete-application-complete', 'User_3'], ['W-Call-after-offers-schedule', 'User_3'], ['W-Call-after-offers-start', 'User_3'], ['A-Complete', 'User_3'], ['W-Call-after-offers-suspend', 'User_3'], ['W-Call-after-offers-resume', 'User_11'], ['W-Call-after-offers-suspend', 'User_11'], ['W-Call-after-offers-ate-abort', 'User_113'], ['W-Validate-application-schedule', 'User_113'], ['W-Validate-application-start', 'User_113'], ['A-Validating', 'User_113'], ['O-Returned', 'User_113'], ['W-Validate-application-suspend', 'User_113'], ['W-Validate-application-resume', 'User_95'], ['W-Validate-application-suspend', 'User_95'], ['W-Validate-application-resume', 'User_99'], ['A-Denied', 'User_99'], ['O-Refused', 'User_99'], ['W-Validate-application-complete', 'User_99'], ['end', 'User_99']]"</t>
  </si>
  <si>
    <t>Application_319587802</t>
  </si>
  <si>
    <t>[['start', 'User_1'], ['A-Create-Application', 'User_1'], ['A-Submitted', 'User_1'], ['W-Handle-leads-schedule', 'User_1'], ['W-Handle-leads-start', 'User_17'], ['W-Handle-leads-complete', 'User_17'], ['W-Complete-application-schedule', 'User_17'], ['W-Complete-application-start', 'User_17'], ['A-Concept', 'User_17'], ['W-Complete-application-suspend', 'User_17'], ['W-Complete-application-resume', 'User_16'], ['W-Complete-application-suspend', 'User_16'], ['W-Complete-application-resume', 'User_108'], ['W-Complete-application-suspend', 'User_108'], ['W-Complete-application-resume', 'User_108'], ['W-Complete-application-suspend', 'User_108'], ['W-Complete-application-resume', 'User_108'], ['A-Accepted', 'User_108'], ['O-Create-Offer', 'User_108'], ['O-Created', 'User_108'], ['O-Create-Offer', 'User_108'], ['O-Created', 'User_108'], ['O-Sent-mail-and-online', 'User_108'], ['O-Sent-mail-and-online', 'User_108'], ['W-Complete-application-complete', 'User_108'], ['W-Call-after-offers-schedule', 'User_108'], ['W-Call-after-offers-start', 'User_108'], ['A-Complete', 'User_108'], ['W-Call-after-offers-suspend', 'User_108'], ['W-Call-after-offers-resume', 'User_2'], ['W-Call-after-offers-suspend', 'User_2'], ['O-Create-Offer', 'User_10'], ['O-Created', 'User_10'], ['O-Sent-mail-and-online', 'User_10'], ['W-Call-after-offers-ate-abort', 'User_113'], ['W-Validate-application-schedule', 'User_113'], ['W-Validate-application-start', 'User_113'], ['A-Validating', 'User_113'], ['O-Returned', 'User_113'], ['W-Validate-application-suspend', 'User_113'], ['W-Validate-application-resume', 'User_30'], ['W-Validate-application-suspend', 'User_30'], ['W-Validate-application-resume', 'User_29'], ['A-Denied', 'User_29'], ['O-Refused', 'User_29'], ['O-Refused', 'User_29'], ['O-Refused', 'User_29'], ['W-Validate-application-complete', 'User_29'], ['end', 'User_29']]"</t>
  </si>
  <si>
    <t>Application_396349881</t>
  </si>
  <si>
    <t>[['start', 'User_1'], ['A-Create-Application', 'User_1'], ['A-Submitted', 'User_1'], ['W-Handle-leads-schedule', 'User_1'], ['W-Handle-leads-withdraw', 'User_1'], ['W-Complete-application-schedule', 'User_1'], ['A-Concept', 'User_1'], ['W-Complete-application-start', 'User_13'], ['A-Accepted', 'User_13'], ['O-Create-Offer', 'User_13'], ['O-Created', 'User_13'], ['O-Sent-mail-and-online', 'User_13'], ['W-Complete-application-complete', 'User_13'], ['W-Call-after-offers-schedule', 'User_13'], ['W-Call-after-offers-start', 'User_13'], ['A-Complete', 'User_13'], ['W-Call-after-offers-suspend', 'User_13'], ['W-Call-after-offers-resume', 'User_15'], ['W-Call-after-offers-suspend', 'User_15'], ['W-Call-after-offers-ate-abort', 'User_119'], ['W-Validate-application-schedule', 'User_119'], ['W-Validate-application-start', 'User_119'], ['A-Validating', 'User_119'], ['O-Returned', 'User_119'], ['W-Validate-application-suspend', 'User_119'], ['W-Validate-application-resume', 'User_95'], ['W-Validate-application-suspend', 'User_95'], ['W-Validate-application-resume', 'User_29'], ['W-Validate-application-suspend', 'User_29'], ['W-Validate-application-resume', 'User_29'], ['W-Validate-application-complete', 'User_29'], ['W-Call-incomplete-files-schedule', 'User_29'], ['W-Call-incomplete-files-start', 'User_29'], ['A-Incomplete', 'User_29'], ['A-Denied', 'User_29'], ['O-Refused', 'User_29'], ['end', 'User_29']]"</t>
  </si>
  <si>
    <t>Application_525275343</t>
  </si>
  <si>
    <t>[['start', 'User_1'], ['A-Create-Application', 'User_1'], ['A-Submitted', 'User_1'], ['W-Handle-leads-schedule', 'User_1'], ['W-Handle-leads-start', 'User_20'], ['W-Handle-leads-suspend', 'User_20'], ['W-Handle-leads-resume', 'User_20'], ['W-Handle-leads-complete', 'User_20'], ['W-Complete-application-schedule', 'User_20'], ['W-Complete-application-start', 'User_20'], ['A-Concept', 'User_20'], ['W-Complete-application-suspend', 'User_20'], ['W-Complete-application-resume', 'User_3'], ['W-Complete-application-suspend', 'User_3'], ['A-Accepted', 'User_10'], ['O-Create-Offer', 'User_10'], ['O-Created', 'User_10'], ['O-Sent-mail-and-online', 'User_10'], ['W-Complete-application-ate-abort', 'User_10'], ['W-Call-after-offers-schedule', 'User_10'], ['W-Call-after-offers-start', 'User_10'], ['A-Complete', 'User_10'], ['W-Call-after-offers-suspend', 'User_10'], ['W-Call-after-offers-resume', 'User_2'], ['W-Call-after-offers-suspend', 'User_2'], ['W-Call-after-offers-ate-abort', 'User_114'], ['W-Validate-application-schedule', 'User_114'], ['W-Validate-application-start', 'User_114'], ['A-Validating', 'User_114'], ['O-Returned', 'User_114'], ['W-Validate-application-suspend', 'User_114'], ['W-Validate-application-resume', 'User_95'], ['W-Validate-application-suspend', 'User_95'], ['W-Validate-application-resume', 'User_29'], ['A-Denied', 'User_29'], ['O-Refused', 'User_29'], ['W-Validate-application-complete', 'User_29'], ['end', 'User_29']]"</t>
  </si>
  <si>
    <t>Application_546206358</t>
  </si>
  <si>
    <t>[['start', 'User_1'], ['A-Create-Application', 'User_1'], ['A-Submitted', 'User_1'], ['W-Handle-leads-schedule', 'User_1'], ['W-Handle-leads-withdraw', 'User_1'], ['W-Complete-application-schedule', 'User_1'], ['A-Concept', 'User_1'], ['W-Complete-application-start', 'User_89'], ['A-Accepted', 'User_89'], ['O-Create-Offer', 'User_89'], ['O-Created', 'User_89'], ['O-Sent-mail-and-online', 'User_89'], ['W-Complete-application-complete', 'User_89'], ['W-Call-after-offers-schedule', 'User_89'], ['W-Call-after-offers-start', 'User_89'], ['A-Complete', 'User_89'], ['W-Call-after-offers-suspend', 'User_89'], ['W-Call-after-offers-resume', 'User_20'], ['W-Call-after-offers-suspend', 'User_20'], ['W-Call-after-offers-ate-abort', 'User_117'], ['W-Validate-application-schedule', 'User_117'], ['W-Validate-application-start', 'User_117'], ['A-Validating', 'User_117'], ['O-Returned', 'User_117'], ['W-Validate-application-suspend', 'User_117'], ['A-Denied', 'User_90'], ['O-Refused', 'User_90'], ['W-Validate-application-ate-abort', 'User_90'], ['end', 'User_90']]"</t>
  </si>
  <si>
    <t>Application_58755651</t>
  </si>
  <si>
    <t>[['start', 'User_1'], ['A-Create-Application', 'User_1'], ['A-Submitted', 'User_1'], ['W-Handle-leads-schedule', 'User_1'], ['W-Handle-leads-withdraw', 'User_1'], ['W-Complete-application-schedule', 'User_1'], ['A-Concept', 'User_1'], ['W-Complete-application-start', 'User_19'], ['A-Accepted', 'User_19'], ['O-Create-Offer', 'User_19'], ['O-Created', 'User_19'], ['O-Sent-mail-and-online', 'User_19'], ['W-Complete-application-complete', 'User_19'], ['W-Call-after-offers-schedule', 'User_19'], ['W-Call-after-offers-start', 'User_19'], ['A-Complete', 'User_19'], ['W-Call-after-offers-suspend', 'User_19'], ['O-Create-Offer', 'User_7'], ['O-Created', 'User_7'], ['O-Create-Offer', 'User_85'], ['O-Created', 'User_85'], ['W-Call-after-offers-resume', 'User_71'], ['W-Call-after-offers-suspend', 'User_71'], ['W-Call-after-offers-ate-abort', 'User_117'], ['W-Validate-application-schedule', 'User_117'], ['W-Validate-application-start', 'User_117'], ['A-Validating', 'User_117'], ['O-Returned', 'User_117'], ['W-Validate-application-suspend', 'User_117'], ['W-Validate-application-resume', 'User_95'], ['W-Validate-application-suspend', 'User_95'], ['W-Validate-application-resume', 'User_95'], ['A-Denied', 'User_95'], ['O-Refused', 'User_95'], ['O-Refused', 'User_95'], ['O-Refused', 'User_95'], ['W-Validate-application-complete', 'User_95'], ['end', 'User_95']]"</t>
  </si>
  <si>
    <t>Application_774787486</t>
  </si>
  <si>
    <t>[['start', 'User_1'], ['A-Create-Application', 'User_1'], ['A-Submitted', 'User_1'], ['W-Handle-leads-schedule', 'User_1'], ['W-Handle-leads-withdraw', 'User_1'], ['W-Complete-application-schedule', 'User_1'], ['A-Concept', 'User_1'], ['W-Complete-application-start', 'User_16'], ['W-Complete-application-suspend', 'User_16'], ['A-Accepted', 'User_10'], ['O-Create-Offer', 'User_10'], ['O-Created', 'User_10'], ['O-Sent-mail-and-online', 'User_10'], ['W-Complete-application-ate-abort', 'User_10'], ['W-Call-after-offers-schedule', 'User_10'], ['W-Call-after-offers-start', 'User_10'], ['A-Complete', 'User_10'], ['W-Call-after-offers-suspend', 'User_10'], ['W-Call-after-offers-resume', 'User_15'], ['W-Call-after-offers-suspend', 'User_15'], ['O-Create-Offer', 'User_8'], ['O-Created', 'User_8'], ['O-Sent-mail-and-online', 'User_8'], ['W-Call-after-offers-ate-abort', 'User_117'], ['W-Validate-application-schedule', 'User_117'], ['W-Validate-application-start', 'User_117'], ['A-Validating', 'User_117'], ['O-Returned', 'User_117'], ['W-Validate-application-suspend', 'User_117'], ['W-Validate-application-resume', 'User_95'], ['A-Denied', 'User_95'], ['O-Refused', 'User_95'], ['O-Refused', 'User_95'], ['W-Validate-application-complete', 'User_95'], ['end', 'User_95']]"</t>
  </si>
  <si>
    <t>Application_914660918</t>
  </si>
  <si>
    <t>[['start', 'User_16'], ['A-Create-Application', 'User_16'], ['A-Concept', 'User_16'], ['W-Complete-application-schedule', 'User_16'], ['W-Complete-application-start', 'User_16'], ['A-Accepted', 'User_16'], ['O-Create-Offer', 'User_16'], ['O-Created', 'User_16'], ['O-Sent-mail-and-online', 'User_16'], ['W-Complete-application-complete', 'User_16'], ['W-Call-after-offers-schedule', 'User_16'], ['W-Call-after-offers-start', 'User_16'], ['A-Complete', 'User_16'], ['W-Call-after-offers-suspend', 'User_16'], ['W-Call-after-offers-resume', 'User_20'], ['W-Call-after-offers-suspend', 'User_20'], ['W-Call-after-offers-ate-abort', 'User_118'], ['W-Validate-application-schedule', 'User_118'], ['W-Validate-application-start', 'User_118'], ['A-Validating', 'User_118'], ['O-Returned', 'User_118'], ['W-Validate-application-suspend', 'User_118'], ['W-Validate-application-resume', 'User_102'], ['W-Validate-application-suspend', 'User_102'], ['W-Validate-application-resume', 'User_102'], ['W-Validate-application-suspend', 'User_102'], ['W-Validate-application-resume', 'User_75'], ['W-Validate-application-suspend', 'User_75'], ['A-Denied', 'User_75'], ['O-Refused', 'User_75'], ['W-Validate-application-ate-abort', 'User_75'], ['end', 'User_75']]"</t>
  </si>
  <si>
    <t>Application_987262285</t>
  </si>
  <si>
    <t>[['start', 'User_1'], ['A-Create-Application', 'User_1'], ['A-Submitted', 'User_1'], ['W-Handle-leads-schedule', 'User_1'], ['W-Handle-leads-start', 'User_14'], ['W-Handle-leads-complete', 'User_14'], ['W-Complete-application-schedule', 'User_14'], ['W-Complete-application-start', 'User_14'], ['A-Concept', 'User_14'], ['W-Complete-application-suspend', 'User_14'], ['W-Complete-application-resume', 'User_15'], ['W-Complete-application-suspend', 'User_15'], ['A-Accepted', 'User_22'], ['O-Create-Offer', 'User_22'], ['O-Created', 'User_22'], ['O-Sent-mail-and-online', 'User_22'], ['W-Complete-application-ate-abort', 'User_22'], ['W-Call-after-offers-schedule', 'User_22'], ['W-Call-after-offers-start', 'User_22'], ['A-Complete', 'User_22'], ['W-Call-after-offers-suspend', 'User_22'], ['W-Call-after-offers-resume', 'User_15'], ['W-Call-after-offers-suspend', 'User_15'], ['W-Call-after-offers-ate-abort', 'User_116'], ['W-Validate-application-schedule', 'User_116'], ['W-Validate-application-start', 'User_116'], ['A-Validating', 'User_116'], ['O-Returned', 'User_116'], ['W-Validate-application-suspend', 'User_116'], ['W-Validate-application-resume', 'User_102'], ['W-Validate-application-suspend', 'User_102'], ['W-Validate-application-resume', 'User_68'], ['W-Validate-application-suspend', 'User_68'], ['W-Validate-application-resume', 'User_68'], ['A-Denied', 'User_68'], ['O-Refused', 'User_68'], ['W-Validate-application-complete', 'User_68'], ['end', 'User_68']]"</t>
  </si>
  <si>
    <t>Resource (User)/Activity</t>
  </si>
  <si>
    <t>start</t>
  </si>
  <si>
    <t>A-Create-Application</t>
  </si>
  <si>
    <t>A-Submitted</t>
  </si>
  <si>
    <t>W-Handle-leads-schedule</t>
  </si>
  <si>
    <t>W-Handle-leads-withdraw</t>
  </si>
  <si>
    <t>W-Complete-application-schedule'</t>
  </si>
  <si>
    <t>A-Concept</t>
  </si>
  <si>
    <t>W-Complete-application-start</t>
  </si>
  <si>
    <t>W-Complete-application-suspend</t>
  </si>
  <si>
    <t>W-Complete-application-resume</t>
  </si>
  <si>
    <t>A-Accepted</t>
  </si>
  <si>
    <t>O-Create-Offer</t>
  </si>
  <si>
    <t>O-Created</t>
  </si>
  <si>
    <t>O-Sent-mail-and-online</t>
  </si>
  <si>
    <t>W-Complete-application-complete</t>
  </si>
  <si>
    <t>W-Call-after-offers-schedule</t>
  </si>
  <si>
    <t>W-Call-after-offers-start</t>
  </si>
  <si>
    <t>A-Complete</t>
  </si>
  <si>
    <t>W-Call-after-offers-suspend</t>
  </si>
  <si>
    <t>W-Call-after-offers-resume</t>
  </si>
  <si>
    <t>W-Call-after-offers-ate-abort</t>
  </si>
  <si>
    <t>W-Validate-application-schedule</t>
  </si>
  <si>
    <t>W-Validate-application-start</t>
  </si>
  <si>
    <t>A-Validating</t>
  </si>
  <si>
    <t>O-Returned</t>
  </si>
  <si>
    <t>W-Validate-application-suspend</t>
  </si>
  <si>
    <t>W-Validate-application-ate-abort</t>
  </si>
  <si>
    <t>W-Call-incomplete-files-schedule</t>
  </si>
  <si>
    <t>W-Call-incomplete-files-start</t>
  </si>
  <si>
    <t>A-Incomplete</t>
  </si>
  <si>
    <t>W-Call-incomplete-files-suspend</t>
  </si>
  <si>
    <t>W-Call-incomplete-files-resume</t>
  </si>
  <si>
    <t>W-Call-incomplete-files-ate-abort</t>
  </si>
  <si>
    <t>W-Validate-application-resume</t>
  </si>
  <si>
    <t>A-Denied</t>
  </si>
  <si>
    <t>O-Refused</t>
  </si>
  <si>
    <t>end</t>
  </si>
  <si>
    <t>W-Complete-application-ate-abort</t>
  </si>
  <si>
    <t>W-Validate-application-complete</t>
  </si>
  <si>
    <t>W-Handle-leads-start</t>
  </si>
  <si>
    <t>W-Handle-leads-complete</t>
  </si>
  <si>
    <t>W-Handle-leads-suspend</t>
  </si>
  <si>
    <t>W-Handle-leads-resume</t>
  </si>
  <si>
    <t>User_1</t>
  </si>
  <si>
    <t>User_38</t>
  </si>
  <si>
    <t>User_7</t>
  </si>
  <si>
    <t>User_4</t>
  </si>
  <si>
    <t>User_15</t>
  </si>
  <si>
    <t>User_113</t>
  </si>
  <si>
    <t>User_100</t>
  </si>
  <si>
    <t>User_2</t>
  </si>
  <si>
    <t>User_16</t>
  </si>
  <si>
    <t>User_30</t>
  </si>
  <si>
    <t>User_68</t>
  </si>
  <si>
    <t>User_21</t>
  </si>
  <si>
    <t>User_119</t>
  </si>
  <si>
    <t>User_75</t>
  </si>
  <si>
    <t>User_3</t>
  </si>
  <si>
    <t>User_10</t>
  </si>
  <si>
    <t>User_112</t>
  </si>
  <si>
    <t>User_102</t>
  </si>
  <si>
    <t>User_99</t>
  </si>
  <si>
    <t>User_17</t>
  </si>
  <si>
    <t>User_11</t>
  </si>
  <si>
    <t>User_43</t>
  </si>
  <si>
    <t>User_117</t>
  </si>
  <si>
    <t>User_20</t>
  </si>
  <si>
    <t>User_95</t>
  </si>
  <si>
    <t>User_108</t>
  </si>
  <si>
    <t>User_29</t>
  </si>
  <si>
    <t>User_13</t>
  </si>
  <si>
    <t>User_114</t>
  </si>
  <si>
    <t>User_89</t>
  </si>
  <si>
    <t>User_90</t>
  </si>
  <si>
    <t>User_19</t>
  </si>
  <si>
    <t>User_85</t>
  </si>
  <si>
    <t>User_71</t>
  </si>
  <si>
    <t>User_8</t>
  </si>
  <si>
    <t>User_118</t>
  </si>
  <si>
    <t>User_14</t>
  </si>
  <si>
    <t>User_22</t>
  </si>
  <si>
    <t>User_116</t>
  </si>
  <si>
    <t>resource</t>
  </si>
  <si>
    <t>1.0</t>
  </si>
  <si>
    <t>0.0</t>
  </si>
  <si>
    <t>2.0</t>
  </si>
  <si>
    <t>1.5</t>
  </si>
  <si>
    <t>3.0</t>
  </si>
  <si>
    <t>From --&gt; To</t>
  </si>
  <si>
    <t>x</t>
  </si>
  <si>
    <t>Som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</si>
</sst>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1"/>
      <color theme="1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7B88A1"/>
      <name val="Consolas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3BEB9"/>
        <bgColor rgb="FFF3BEB9"/>
      </patternFill>
    </fill>
    <fill>
      <patternFill patternType="solid">
        <fgColor rgb="FF57BB8A"/>
        <bgColor rgb="FF57BB8A"/>
      </patternFill>
    </fill>
    <fill>
      <patternFill patternType="solid">
        <fgColor rgb="FFE67C73"/>
        <bgColor rgb="FFE67C73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2" borderId="0" xfId="0" applyFont="1" applyFill="1"/>
    <xf numFmtId="0" fontId="3" fillId="0" borderId="0" xfId="0" applyFont="1" applyAlignment="1">
      <alignment vertical="center"/>
    </xf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2" fillId="0" borderId="3" xfId="0" quotePrefix="1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4" xfId="0" applyFont="1" applyBorder="1"/>
    <xf numFmtId="0" fontId="3" fillId="0" borderId="0" xfId="0" applyFont="1"/>
    <xf numFmtId="0" fontId="2" fillId="0" borderId="0" xfId="0" applyFont="1"/>
    <xf numFmtId="0" fontId="2" fillId="0" borderId="4" xfId="0" quotePrefix="1" applyFont="1" applyBorder="1"/>
    <xf numFmtId="0" fontId="3" fillId="0" borderId="5" xfId="0" applyFont="1" applyBorder="1" applyAlignment="1">
      <alignment vertical="top"/>
    </xf>
    <xf numFmtId="0" fontId="2" fillId="0" borderId="1" xfId="0" quotePrefix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0" xfId="0" applyFont="1"/>
    <xf numFmtId="0" fontId="2" fillId="0" borderId="2" xfId="0" applyFont="1" applyBorder="1"/>
    <xf numFmtId="0" fontId="2" fillId="0" borderId="2" xfId="0" quotePrefix="1" applyFont="1" applyBorder="1"/>
    <xf numFmtId="0" fontId="3" fillId="0" borderId="0" xfId="0" applyFont="1" applyAlignment="1">
      <alignment horizontal="center" vertical="center"/>
    </xf>
    <xf numFmtId="3" fontId="6" fillId="4" borderId="0" xfId="0" applyNumberFormat="1" applyFont="1" applyFill="1" applyAlignment="1">
      <alignment horizontal="right"/>
    </xf>
    <xf numFmtId="3" fontId="6" fillId="5" borderId="0" xfId="0" applyNumberFormat="1" applyFont="1" applyFill="1" applyAlignment="1">
      <alignment horizontal="right"/>
    </xf>
    <xf numFmtId="3" fontId="6" fillId="6" borderId="0" xfId="0" applyNumberFormat="1" applyFont="1" applyFill="1" applyAlignment="1">
      <alignment horizontal="right"/>
    </xf>
    <xf numFmtId="0" fontId="7" fillId="7" borderId="6" xfId="0" applyFont="1" applyFill="1" applyBorder="1" applyAlignment="1">
      <alignment wrapText="1"/>
    </xf>
    <xf numFmtId="0" fontId="7" fillId="8" borderId="6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10" borderId="6" xfId="0" applyFont="1" applyFill="1" applyBorder="1" applyAlignment="1">
      <alignment wrapText="1"/>
    </xf>
    <xf numFmtId="0" fontId="7" fillId="11" borderId="6" xfId="0" applyFont="1" applyFill="1" applyBorder="1" applyAlignment="1">
      <alignment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Data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B16">
  <tableColumns count="2">
    <tableColumn id="1" xr3:uid="{00000000-0010-0000-0000-000001000000}" name="case_id"/>
    <tableColumn id="2" xr3:uid="{00000000-0010-0000-0000-000002000000}" name="log_events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60"/>
  <sheetViews>
    <sheetView workbookViewId="0"/>
  </sheetViews>
  <sheetFormatPr defaultColWidth="12.6640625" defaultRowHeight="15.75" customHeight="1" x14ac:dyDescent="0.25"/>
  <cols>
    <col min="1" max="1" width="22.33203125" customWidth="1"/>
    <col min="2" max="2" width="19.44140625" customWidth="1"/>
    <col min="26" max="45" width="20.44140625" customWidth="1"/>
  </cols>
  <sheetData>
    <row r="1" spans="1:2" ht="13.8" x14ac:dyDescent="0.25">
      <c r="A1" s="1" t="s">
        <v>0</v>
      </c>
      <c r="B1" s="2" t="s">
        <v>1</v>
      </c>
    </row>
    <row r="2" spans="1:2" ht="13.8" x14ac:dyDescent="0.25">
      <c r="A2" s="3" t="s">
        <v>2</v>
      </c>
      <c r="B2" s="4" t="s">
        <v>3</v>
      </c>
    </row>
    <row r="3" spans="1:2" ht="13.8" x14ac:dyDescent="0.25">
      <c r="A3" s="3" t="s">
        <v>4</v>
      </c>
      <c r="B3" s="4" t="s">
        <v>5</v>
      </c>
    </row>
    <row r="4" spans="1:2" ht="13.8" x14ac:dyDescent="0.25">
      <c r="A4" s="3" t="s">
        <v>6</v>
      </c>
      <c r="B4" s="4" t="s">
        <v>7</v>
      </c>
    </row>
    <row r="5" spans="1:2" ht="13.8" x14ac:dyDescent="0.25">
      <c r="A5" s="3" t="s">
        <v>8</v>
      </c>
      <c r="B5" s="4" t="s">
        <v>9</v>
      </c>
    </row>
    <row r="6" spans="1:2" ht="13.8" x14ac:dyDescent="0.25">
      <c r="A6" s="3" t="s">
        <v>10</v>
      </c>
      <c r="B6" s="4" t="s">
        <v>11</v>
      </c>
    </row>
    <row r="7" spans="1:2" ht="13.8" x14ac:dyDescent="0.25">
      <c r="A7" s="3" t="s">
        <v>12</v>
      </c>
      <c r="B7" s="4" t="s">
        <v>13</v>
      </c>
    </row>
    <row r="8" spans="1:2" ht="13.8" x14ac:dyDescent="0.25">
      <c r="A8" s="3" t="s">
        <v>14</v>
      </c>
      <c r="B8" s="4" t="s">
        <v>15</v>
      </c>
    </row>
    <row r="9" spans="1:2" ht="13.8" x14ac:dyDescent="0.25">
      <c r="A9" s="3" t="s">
        <v>16</v>
      </c>
      <c r="B9" s="4" t="s">
        <v>17</v>
      </c>
    </row>
    <row r="10" spans="1:2" ht="13.8" x14ac:dyDescent="0.25">
      <c r="A10" s="3" t="s">
        <v>18</v>
      </c>
      <c r="B10" s="4" t="s">
        <v>19</v>
      </c>
    </row>
    <row r="11" spans="1:2" ht="13.8" x14ac:dyDescent="0.25">
      <c r="A11" s="3" t="s">
        <v>20</v>
      </c>
      <c r="B11" s="4" t="s">
        <v>21</v>
      </c>
    </row>
    <row r="12" spans="1:2" ht="13.8" x14ac:dyDescent="0.25">
      <c r="A12" s="3" t="s">
        <v>22</v>
      </c>
      <c r="B12" s="4" t="s">
        <v>23</v>
      </c>
    </row>
    <row r="13" spans="1:2" ht="13.8" x14ac:dyDescent="0.25">
      <c r="A13" s="3" t="s">
        <v>24</v>
      </c>
      <c r="B13" s="4" t="s">
        <v>25</v>
      </c>
    </row>
    <row r="14" spans="1:2" ht="13.8" x14ac:dyDescent="0.25">
      <c r="A14" s="3" t="s">
        <v>26</v>
      </c>
      <c r="B14" s="4" t="s">
        <v>27</v>
      </c>
    </row>
    <row r="15" spans="1:2" ht="13.8" x14ac:dyDescent="0.25">
      <c r="A15" s="3" t="s">
        <v>28</v>
      </c>
      <c r="B15" s="4" t="s">
        <v>29</v>
      </c>
    </row>
    <row r="16" spans="1:2" ht="13.8" x14ac:dyDescent="0.25">
      <c r="A16" s="5" t="s">
        <v>30</v>
      </c>
      <c r="B16" s="4" t="s">
        <v>31</v>
      </c>
    </row>
    <row r="18" spans="1:45" ht="13.2" x14ac:dyDescent="0.25">
      <c r="A18" s="6"/>
    </row>
    <row r="22" spans="1:45" ht="15.75" customHeight="1" x14ac:dyDescent="0.3">
      <c r="AS22" s="7"/>
    </row>
    <row r="60" spans="2:2" ht="13.2" x14ac:dyDescent="0.25">
      <c r="B60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41"/>
  <sheetViews>
    <sheetView tabSelected="1" zoomScale="39" workbookViewId="0"/>
  </sheetViews>
  <sheetFormatPr defaultColWidth="12.6640625" defaultRowHeight="15.75" customHeight="1" x14ac:dyDescent="0.25"/>
  <cols>
    <col min="1" max="1" width="20.44140625" customWidth="1"/>
  </cols>
  <sheetData>
    <row r="1" spans="1:44" ht="31.5" customHeight="1" x14ac:dyDescent="0.25">
      <c r="A1" s="9" t="s">
        <v>32</v>
      </c>
      <c r="B1" s="10" t="s">
        <v>33</v>
      </c>
      <c r="C1" s="11" t="s">
        <v>34</v>
      </c>
      <c r="D1" s="12" t="s">
        <v>35</v>
      </c>
      <c r="E1" s="12" t="s">
        <v>36</v>
      </c>
      <c r="F1" s="12" t="s">
        <v>37</v>
      </c>
      <c r="G1" s="11" t="s">
        <v>38</v>
      </c>
      <c r="H1" s="12" t="s">
        <v>39</v>
      </c>
      <c r="I1" s="12" t="s">
        <v>40</v>
      </c>
      <c r="J1" s="13" t="s">
        <v>41</v>
      </c>
      <c r="K1" s="13" t="s">
        <v>42</v>
      </c>
      <c r="L1" s="13" t="s">
        <v>43</v>
      </c>
      <c r="M1" s="13" t="s">
        <v>44</v>
      </c>
      <c r="N1" s="13" t="s">
        <v>45</v>
      </c>
      <c r="O1" s="13" t="s">
        <v>46</v>
      </c>
      <c r="P1" s="13" t="s">
        <v>47</v>
      </c>
      <c r="Q1" s="13" t="s">
        <v>48</v>
      </c>
      <c r="R1" s="13" t="s">
        <v>49</v>
      </c>
      <c r="S1" s="13" t="s">
        <v>50</v>
      </c>
      <c r="T1" s="13" t="s">
        <v>51</v>
      </c>
      <c r="U1" s="13" t="s">
        <v>52</v>
      </c>
      <c r="V1" s="13" t="s">
        <v>53</v>
      </c>
      <c r="W1" s="13" t="s">
        <v>54</v>
      </c>
      <c r="X1" s="13" t="s">
        <v>55</v>
      </c>
      <c r="Y1" s="13" t="s">
        <v>56</v>
      </c>
      <c r="Z1" s="13" t="s">
        <v>57</v>
      </c>
      <c r="AA1" s="13" t="s">
        <v>58</v>
      </c>
      <c r="AB1" s="13" t="s">
        <v>59</v>
      </c>
      <c r="AC1" s="13" t="s">
        <v>60</v>
      </c>
      <c r="AD1" s="13" t="s">
        <v>61</v>
      </c>
      <c r="AE1" s="13" t="s">
        <v>62</v>
      </c>
      <c r="AF1" s="13" t="s">
        <v>63</v>
      </c>
      <c r="AG1" s="13" t="s">
        <v>64</v>
      </c>
      <c r="AH1" s="13" t="s">
        <v>65</v>
      </c>
      <c r="AI1" s="13" t="s">
        <v>66</v>
      </c>
      <c r="AJ1" s="13" t="s">
        <v>67</v>
      </c>
      <c r="AK1" s="13" t="s">
        <v>68</v>
      </c>
      <c r="AL1" s="12" t="s">
        <v>69</v>
      </c>
      <c r="AM1" s="12" t="s">
        <v>70</v>
      </c>
      <c r="AN1" s="12" t="s">
        <v>71</v>
      </c>
      <c r="AO1" s="12" t="s">
        <v>72</v>
      </c>
      <c r="AP1" s="12" t="s">
        <v>73</v>
      </c>
      <c r="AQ1" s="12" t="s">
        <v>74</v>
      </c>
      <c r="AR1" s="12" t="s">
        <v>75</v>
      </c>
    </row>
    <row r="2" spans="1:44" ht="13.8" x14ac:dyDescent="0.25">
      <c r="A2" s="14" t="s">
        <v>76</v>
      </c>
      <c r="B2" s="15">
        <v>1</v>
      </c>
      <c r="C2" s="15">
        <v>1</v>
      </c>
      <c r="D2" s="15">
        <v>1</v>
      </c>
      <c r="E2" s="15">
        <v>1</v>
      </c>
      <c r="F2" s="15">
        <v>1</v>
      </c>
      <c r="G2" s="15">
        <v>1</v>
      </c>
      <c r="H2" s="15">
        <v>1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</row>
    <row r="3" spans="1:44" ht="13.8" x14ac:dyDescent="0.25">
      <c r="A3" s="17" t="s">
        <v>77</v>
      </c>
      <c r="I3" s="15">
        <v>1</v>
      </c>
      <c r="J3" s="15">
        <v>1</v>
      </c>
      <c r="K3" s="15">
        <v>1</v>
      </c>
      <c r="L3" s="15">
        <v>1</v>
      </c>
      <c r="M3" s="15">
        <v>1</v>
      </c>
      <c r="N3" s="15">
        <v>1</v>
      </c>
      <c r="O3" s="15">
        <v>1</v>
      </c>
      <c r="P3" s="15">
        <v>1</v>
      </c>
      <c r="Q3" s="15">
        <v>1</v>
      </c>
      <c r="R3" s="15">
        <v>1</v>
      </c>
      <c r="S3" s="15">
        <v>1</v>
      </c>
      <c r="T3" s="15">
        <v>1</v>
      </c>
    </row>
    <row r="4" spans="1:44" ht="14.4" x14ac:dyDescent="0.3">
      <c r="A4" s="17" t="s">
        <v>78</v>
      </c>
      <c r="B4" s="7"/>
      <c r="K4" s="15">
        <v>1</v>
      </c>
      <c r="L4" s="15">
        <v>1</v>
      </c>
      <c r="M4" s="15">
        <v>1</v>
      </c>
      <c r="N4" s="15">
        <v>1</v>
      </c>
      <c r="O4" s="15">
        <v>1</v>
      </c>
      <c r="P4" s="15">
        <v>1</v>
      </c>
      <c r="Q4" s="15">
        <v>1</v>
      </c>
      <c r="R4" s="15">
        <v>1</v>
      </c>
      <c r="S4" s="15">
        <v>1</v>
      </c>
      <c r="T4" s="15">
        <v>1</v>
      </c>
    </row>
    <row r="5" spans="1:44" ht="13.8" x14ac:dyDescent="0.25">
      <c r="A5" s="17" t="s">
        <v>79</v>
      </c>
      <c r="M5" s="15">
        <v>1</v>
      </c>
      <c r="N5" s="15">
        <v>1</v>
      </c>
      <c r="O5" s="15">
        <v>1</v>
      </c>
    </row>
    <row r="6" spans="1:44" ht="13.8" x14ac:dyDescent="0.25">
      <c r="A6" s="17" t="s">
        <v>80</v>
      </c>
      <c r="J6" s="15">
        <v>1</v>
      </c>
      <c r="K6" s="15">
        <v>1</v>
      </c>
      <c r="T6" s="15">
        <v>1</v>
      </c>
      <c r="U6" s="15">
        <v>1</v>
      </c>
      <c r="V6" s="15">
        <v>1</v>
      </c>
    </row>
    <row r="7" spans="1:44" ht="13.8" x14ac:dyDescent="0.25">
      <c r="A7" s="17" t="s">
        <v>81</v>
      </c>
      <c r="V7" s="15">
        <v>1</v>
      </c>
      <c r="W7" s="15">
        <v>1</v>
      </c>
      <c r="X7" s="15">
        <v>1</v>
      </c>
      <c r="Y7" s="15">
        <v>1</v>
      </c>
      <c r="Z7" s="15">
        <v>1</v>
      </c>
      <c r="AA7" s="15">
        <v>1</v>
      </c>
    </row>
    <row r="8" spans="1:44" ht="13.8" x14ac:dyDescent="0.25">
      <c r="A8" s="17" t="s">
        <v>82</v>
      </c>
      <c r="AA8" s="15">
        <v>1</v>
      </c>
      <c r="AB8" s="15">
        <f>3/2</f>
        <v>1.5</v>
      </c>
      <c r="AC8" s="15">
        <v>1</v>
      </c>
      <c r="AD8" s="15">
        <v>1</v>
      </c>
      <c r="AE8" s="15">
        <v>1</v>
      </c>
      <c r="AF8" s="15">
        <v>1</v>
      </c>
      <c r="AI8" s="15">
        <v>1</v>
      </c>
      <c r="AJ8" s="15">
        <v>1</v>
      </c>
      <c r="AK8" s="15">
        <f>3/2</f>
        <v>1.5</v>
      </c>
      <c r="AL8" s="15">
        <v>1</v>
      </c>
      <c r="AM8" s="15">
        <v>1</v>
      </c>
    </row>
    <row r="9" spans="1:44" ht="13.8" x14ac:dyDescent="0.25">
      <c r="A9" s="17" t="s">
        <v>83</v>
      </c>
      <c r="T9" s="15">
        <v>1</v>
      </c>
      <c r="U9" s="15">
        <v>1</v>
      </c>
      <c r="W9" s="15">
        <v>1</v>
      </c>
      <c r="X9" s="15">
        <v>1</v>
      </c>
      <c r="Y9" s="15">
        <v>1</v>
      </c>
      <c r="AA9" s="15">
        <v>1</v>
      </c>
      <c r="AF9" s="15">
        <v>1</v>
      </c>
      <c r="AG9" s="15">
        <v>1</v>
      </c>
      <c r="AH9" s="15">
        <v>1</v>
      </c>
    </row>
    <row r="10" spans="1:44" ht="13.8" x14ac:dyDescent="0.25">
      <c r="A10" s="17" t="s">
        <v>84</v>
      </c>
      <c r="B10" s="15">
        <v>1</v>
      </c>
      <c r="C10" s="15">
        <v>1</v>
      </c>
      <c r="G10" s="15">
        <v>1</v>
      </c>
      <c r="H10" s="15">
        <v>1</v>
      </c>
      <c r="I10" s="15">
        <v>1</v>
      </c>
      <c r="J10" s="15">
        <f>3/2</f>
        <v>1.5</v>
      </c>
      <c r="K10" s="15">
        <v>1</v>
      </c>
      <c r="L10" s="15">
        <v>1</v>
      </c>
      <c r="M10" s="15">
        <f t="shared" ref="M10:N10" si="0">3/2</f>
        <v>1.5</v>
      </c>
      <c r="N10" s="15">
        <f t="shared" si="0"/>
        <v>1.5</v>
      </c>
      <c r="O10" s="15">
        <v>1</v>
      </c>
      <c r="P10" s="15">
        <v>1</v>
      </c>
      <c r="Q10" s="15">
        <v>1</v>
      </c>
      <c r="R10" s="15">
        <v>1</v>
      </c>
      <c r="S10" s="15">
        <v>1</v>
      </c>
      <c r="T10" s="15">
        <v>1</v>
      </c>
      <c r="AM10" s="15">
        <v>1</v>
      </c>
    </row>
    <row r="11" spans="1:44" ht="13.8" x14ac:dyDescent="0.25">
      <c r="A11" s="17" t="s">
        <v>85</v>
      </c>
      <c r="AA11" s="15">
        <v>1</v>
      </c>
      <c r="AB11" s="15">
        <v>1</v>
      </c>
      <c r="AC11" s="15">
        <v>1</v>
      </c>
      <c r="AD11" s="15">
        <v>1</v>
      </c>
      <c r="AE11" s="15">
        <v>1</v>
      </c>
      <c r="AF11" s="15">
        <v>1</v>
      </c>
      <c r="AI11" s="15">
        <v>1</v>
      </c>
    </row>
    <row r="12" spans="1:44" ht="13.8" x14ac:dyDescent="0.25">
      <c r="A12" s="17" t="s">
        <v>86</v>
      </c>
      <c r="AA12" s="15">
        <v>1</v>
      </c>
      <c r="AF12" s="15">
        <v>1</v>
      </c>
      <c r="AG12" s="15">
        <v>1</v>
      </c>
      <c r="AI12" s="15">
        <f>3/2</f>
        <v>1.5</v>
      </c>
      <c r="AJ12" s="15">
        <v>1</v>
      </c>
      <c r="AK12" s="15">
        <v>1</v>
      </c>
      <c r="AL12" s="15">
        <v>1</v>
      </c>
      <c r="AN12" s="15">
        <v>1</v>
      </c>
    </row>
    <row r="13" spans="1:44" ht="13.8" x14ac:dyDescent="0.25">
      <c r="A13" s="17" t="s">
        <v>87</v>
      </c>
      <c r="T13" s="15">
        <v>1</v>
      </c>
      <c r="U13" s="15">
        <v>1</v>
      </c>
      <c r="AF13" s="15">
        <v>1</v>
      </c>
      <c r="AG13" s="15">
        <v>1</v>
      </c>
    </row>
    <row r="14" spans="1:44" ht="13.8" x14ac:dyDescent="0.25">
      <c r="A14" s="17" t="s">
        <v>88</v>
      </c>
      <c r="V14" s="15">
        <v>1</v>
      </c>
      <c r="W14" s="15">
        <v>1</v>
      </c>
      <c r="X14" s="15">
        <v>1</v>
      </c>
      <c r="Y14" s="15">
        <v>1</v>
      </c>
      <c r="Z14" s="15">
        <v>1</v>
      </c>
      <c r="AA14" s="15">
        <v>1</v>
      </c>
      <c r="AH14" s="15">
        <v>1</v>
      </c>
    </row>
    <row r="15" spans="1:44" ht="13.8" x14ac:dyDescent="0.25">
      <c r="A15" s="17" t="s">
        <v>89</v>
      </c>
      <c r="AA15" s="15">
        <v>1</v>
      </c>
      <c r="AB15" s="15">
        <v>1</v>
      </c>
      <c r="AI15" s="15">
        <v>1</v>
      </c>
      <c r="AJ15" s="15">
        <v>1</v>
      </c>
      <c r="AK15" s="15">
        <f>3/2</f>
        <v>1.5</v>
      </c>
      <c r="AL15" s="15">
        <v>1</v>
      </c>
    </row>
    <row r="16" spans="1:44" ht="13.8" x14ac:dyDescent="0.25">
      <c r="A16" s="17" t="s">
        <v>90</v>
      </c>
      <c r="J16" s="15">
        <v>1</v>
      </c>
      <c r="K16" s="15">
        <v>1</v>
      </c>
      <c r="L16" s="15">
        <v>1</v>
      </c>
      <c r="M16" s="15">
        <v>1</v>
      </c>
      <c r="N16" s="15">
        <v>1</v>
      </c>
      <c r="O16" s="15">
        <v>1</v>
      </c>
      <c r="P16" s="15">
        <v>1</v>
      </c>
      <c r="Q16" s="15">
        <v>1</v>
      </c>
      <c r="R16" s="15">
        <v>1</v>
      </c>
      <c r="S16" s="15">
        <v>1</v>
      </c>
      <c r="T16" s="15">
        <v>1</v>
      </c>
    </row>
    <row r="17" spans="1:44" ht="13.8" x14ac:dyDescent="0.25">
      <c r="A17" s="17" t="s">
        <v>91</v>
      </c>
      <c r="L17" s="15">
        <v>1</v>
      </c>
      <c r="M17" s="15">
        <v>1</v>
      </c>
      <c r="N17" s="15">
        <v>1</v>
      </c>
      <c r="O17" s="15">
        <v>1</v>
      </c>
      <c r="Q17" s="15">
        <v>1</v>
      </c>
      <c r="R17" s="15">
        <v>1</v>
      </c>
      <c r="S17" s="15">
        <v>1</v>
      </c>
      <c r="T17" s="15">
        <v>1</v>
      </c>
      <c r="AM17" s="15">
        <v>1</v>
      </c>
    </row>
    <row r="18" spans="1:44" ht="13.8" x14ac:dyDescent="0.25">
      <c r="A18" s="17" t="s">
        <v>92</v>
      </c>
      <c r="V18" s="15">
        <v>1</v>
      </c>
      <c r="W18" s="15">
        <v>1</v>
      </c>
      <c r="X18" s="15">
        <v>1</v>
      </c>
      <c r="Y18" s="15">
        <v>1</v>
      </c>
      <c r="Z18" s="15">
        <v>1</v>
      </c>
      <c r="AA18" s="15">
        <v>1</v>
      </c>
    </row>
    <row r="19" spans="1:44" ht="13.8" x14ac:dyDescent="0.25">
      <c r="A19" s="17" t="s">
        <v>93</v>
      </c>
      <c r="AA19" s="15">
        <f>4/3</f>
        <v>1.3333333333333333</v>
      </c>
      <c r="AI19" s="15">
        <f>3/2</f>
        <v>1.5</v>
      </c>
    </row>
    <row r="20" spans="1:44" ht="13.8" x14ac:dyDescent="0.25">
      <c r="A20" s="17" t="s">
        <v>94</v>
      </c>
      <c r="AB20" s="15">
        <v>1</v>
      </c>
      <c r="AI20" s="15">
        <v>1</v>
      </c>
      <c r="AJ20" s="15">
        <v>1</v>
      </c>
      <c r="AK20" s="15">
        <v>1</v>
      </c>
      <c r="AL20" s="15">
        <v>1</v>
      </c>
      <c r="AN20" s="15">
        <v>1</v>
      </c>
    </row>
    <row r="21" spans="1:44" ht="13.8" x14ac:dyDescent="0.25">
      <c r="A21" s="17" t="s">
        <v>95</v>
      </c>
      <c r="G21" s="15">
        <v>1</v>
      </c>
      <c r="H21" s="15">
        <v>1</v>
      </c>
      <c r="I21" s="15">
        <v>1</v>
      </c>
      <c r="J21" s="15">
        <v>1</v>
      </c>
      <c r="AO21" s="15">
        <v>1</v>
      </c>
      <c r="AP21" s="15">
        <v>1</v>
      </c>
    </row>
    <row r="22" spans="1:44" ht="13.8" x14ac:dyDescent="0.25">
      <c r="A22" s="17" t="s">
        <v>96</v>
      </c>
      <c r="T22" s="15">
        <v>1</v>
      </c>
      <c r="U22" s="15">
        <v>1</v>
      </c>
    </row>
    <row r="23" spans="1:44" ht="13.8" x14ac:dyDescent="0.25">
      <c r="A23" s="17" t="s">
        <v>97</v>
      </c>
      <c r="B23" s="15">
        <v>1</v>
      </c>
      <c r="C23" s="15">
        <v>1</v>
      </c>
      <c r="G23" s="15">
        <v>1</v>
      </c>
      <c r="H23" s="15">
        <v>1</v>
      </c>
      <c r="I23" s="15">
        <v>1</v>
      </c>
      <c r="J23" s="15">
        <v>1</v>
      </c>
      <c r="L23" s="15">
        <v>1</v>
      </c>
      <c r="M23" s="15">
        <v>1</v>
      </c>
      <c r="N23" s="15">
        <v>1</v>
      </c>
      <c r="O23" s="15">
        <v>1</v>
      </c>
      <c r="Q23" s="15">
        <v>1</v>
      </c>
      <c r="R23" s="15">
        <v>1</v>
      </c>
      <c r="S23" s="15">
        <v>1</v>
      </c>
      <c r="T23" s="15">
        <v>1</v>
      </c>
      <c r="AM23" s="15">
        <v>1</v>
      </c>
    </row>
    <row r="24" spans="1:44" ht="13.8" x14ac:dyDescent="0.25">
      <c r="A24" s="17" t="s">
        <v>98</v>
      </c>
      <c r="V24" s="15">
        <v>1</v>
      </c>
      <c r="W24" s="15">
        <v>1</v>
      </c>
      <c r="X24" s="15">
        <v>1</v>
      </c>
      <c r="Y24" s="15">
        <v>1</v>
      </c>
      <c r="Z24" s="15">
        <v>1</v>
      </c>
      <c r="AA24" s="15">
        <v>1</v>
      </c>
    </row>
    <row r="25" spans="1:44" ht="13.8" x14ac:dyDescent="0.25">
      <c r="A25" s="17" t="s">
        <v>99</v>
      </c>
      <c r="G25" s="15">
        <v>1</v>
      </c>
      <c r="H25" s="15">
        <v>1</v>
      </c>
      <c r="I25" s="15">
        <v>1</v>
      </c>
      <c r="J25" s="15">
        <v>1</v>
      </c>
      <c r="T25" s="15">
        <v>1</v>
      </c>
      <c r="U25" s="15">
        <v>1</v>
      </c>
      <c r="AO25" s="15">
        <v>1</v>
      </c>
      <c r="AP25" s="15">
        <v>1</v>
      </c>
      <c r="AQ25" s="15">
        <v>1</v>
      </c>
      <c r="AR25" s="15">
        <v>1</v>
      </c>
    </row>
    <row r="26" spans="1:44" ht="13.8" x14ac:dyDescent="0.25">
      <c r="A26" s="17" t="s">
        <v>100</v>
      </c>
      <c r="AA26" s="15">
        <f>7/5</f>
        <v>1.4</v>
      </c>
      <c r="AI26" s="15">
        <f>10/5</f>
        <v>2</v>
      </c>
      <c r="AJ26" s="15">
        <v>1</v>
      </c>
      <c r="AK26" s="15">
        <f>6/3</f>
        <v>2</v>
      </c>
      <c r="AL26" s="15">
        <v>1</v>
      </c>
      <c r="AN26" s="15">
        <v>1</v>
      </c>
    </row>
    <row r="27" spans="1:44" ht="13.8" x14ac:dyDescent="0.25">
      <c r="A27" s="17" t="s">
        <v>101</v>
      </c>
      <c r="J27" s="15">
        <v>2</v>
      </c>
      <c r="K27" s="15">
        <v>3</v>
      </c>
      <c r="L27" s="15">
        <v>1</v>
      </c>
      <c r="M27" s="15">
        <v>2</v>
      </c>
      <c r="N27" s="15">
        <v>1</v>
      </c>
      <c r="O27" s="15">
        <f>2/1</f>
        <v>2</v>
      </c>
      <c r="P27" s="15">
        <v>1</v>
      </c>
      <c r="Q27" s="15">
        <v>1</v>
      </c>
      <c r="R27" s="15">
        <v>1</v>
      </c>
      <c r="S27" s="15">
        <v>1</v>
      </c>
      <c r="T27" s="15">
        <v>1</v>
      </c>
    </row>
    <row r="28" spans="1:44" ht="13.8" x14ac:dyDescent="0.25">
      <c r="A28" s="17" t="s">
        <v>102</v>
      </c>
      <c r="AA28" s="15">
        <v>1</v>
      </c>
      <c r="AC28" s="15">
        <v>1</v>
      </c>
      <c r="AD28" s="15">
        <v>1</v>
      </c>
      <c r="AE28" s="15">
        <v>1</v>
      </c>
      <c r="AI28" s="15">
        <v>1</v>
      </c>
      <c r="AJ28" s="15">
        <v>1</v>
      </c>
      <c r="AK28" s="15">
        <f>5/3</f>
        <v>1.6666666666666667</v>
      </c>
      <c r="AL28" s="15">
        <v>1</v>
      </c>
      <c r="AN28" s="15">
        <v>1</v>
      </c>
    </row>
    <row r="29" spans="1:44" ht="13.8" x14ac:dyDescent="0.25">
      <c r="A29" s="17" t="s">
        <v>103</v>
      </c>
      <c r="I29" s="15">
        <v>1</v>
      </c>
      <c r="L29" s="15">
        <v>1</v>
      </c>
      <c r="M29" s="15">
        <v>1</v>
      </c>
      <c r="N29" s="15">
        <v>1</v>
      </c>
      <c r="O29" s="15">
        <v>1</v>
      </c>
      <c r="P29" s="15">
        <v>1</v>
      </c>
      <c r="Q29" s="15">
        <v>1</v>
      </c>
      <c r="R29" s="15">
        <v>1</v>
      </c>
      <c r="S29" s="15">
        <v>1</v>
      </c>
      <c r="T29" s="15">
        <v>1</v>
      </c>
    </row>
    <row r="30" spans="1:44" ht="13.8" x14ac:dyDescent="0.25">
      <c r="A30" s="17" t="s">
        <v>104</v>
      </c>
      <c r="V30" s="15">
        <v>1</v>
      </c>
      <c r="W30" s="15">
        <v>1</v>
      </c>
      <c r="X30" s="15">
        <v>1</v>
      </c>
      <c r="Y30" s="15">
        <v>1</v>
      </c>
      <c r="Z30" s="15">
        <v>1</v>
      </c>
      <c r="AA30" s="15">
        <v>1</v>
      </c>
    </row>
    <row r="31" spans="1:44" ht="13.8" x14ac:dyDescent="0.25">
      <c r="A31" s="17" t="s">
        <v>105</v>
      </c>
      <c r="I31" s="15">
        <v>1</v>
      </c>
      <c r="L31" s="15">
        <v>1</v>
      </c>
      <c r="M31" s="15">
        <v>1</v>
      </c>
      <c r="N31" s="15">
        <v>1</v>
      </c>
      <c r="O31" s="15">
        <v>1</v>
      </c>
      <c r="P31" s="15">
        <v>1</v>
      </c>
      <c r="Q31" s="15">
        <v>1</v>
      </c>
      <c r="R31" s="15">
        <v>1</v>
      </c>
      <c r="S31" s="15">
        <v>1</v>
      </c>
      <c r="T31" s="15">
        <v>1</v>
      </c>
    </row>
    <row r="32" spans="1:44" ht="13.8" x14ac:dyDescent="0.25">
      <c r="A32" s="17" t="s">
        <v>106</v>
      </c>
      <c r="AB32" s="15">
        <v>1</v>
      </c>
      <c r="AJ32" s="15">
        <v>1</v>
      </c>
      <c r="AK32" s="15">
        <v>1</v>
      </c>
      <c r="AL32" s="15">
        <v>1</v>
      </c>
    </row>
    <row r="33" spans="1:44" ht="13.8" x14ac:dyDescent="0.25">
      <c r="A33" s="17" t="s">
        <v>107</v>
      </c>
      <c r="I33" s="15">
        <v>1</v>
      </c>
      <c r="L33" s="15">
        <v>1</v>
      </c>
      <c r="M33" s="15">
        <v>1</v>
      </c>
      <c r="N33" s="15">
        <v>1</v>
      </c>
      <c r="O33" s="15">
        <v>1</v>
      </c>
      <c r="P33" s="15">
        <v>1</v>
      </c>
      <c r="Q33" s="15">
        <v>1</v>
      </c>
      <c r="R33" s="15">
        <v>1</v>
      </c>
      <c r="S33" s="15">
        <v>1</v>
      </c>
      <c r="T33" s="15">
        <v>1</v>
      </c>
    </row>
    <row r="34" spans="1:44" ht="13.8" x14ac:dyDescent="0.25">
      <c r="A34" s="17" t="s">
        <v>108</v>
      </c>
      <c r="M34" s="15">
        <v>1</v>
      </c>
      <c r="N34" s="15">
        <v>1</v>
      </c>
    </row>
    <row r="35" spans="1:44" ht="13.8" x14ac:dyDescent="0.25">
      <c r="A35" s="17" t="s">
        <v>109</v>
      </c>
      <c r="T35" s="15">
        <v>1</v>
      </c>
      <c r="U35" s="15">
        <v>1</v>
      </c>
    </row>
    <row r="36" spans="1:44" ht="13.8" x14ac:dyDescent="0.25">
      <c r="A36" s="17" t="s">
        <v>110</v>
      </c>
      <c r="M36" s="15">
        <v>1</v>
      </c>
      <c r="N36" s="15">
        <v>1</v>
      </c>
      <c r="O36" s="15">
        <v>1</v>
      </c>
    </row>
    <row r="37" spans="1:44" ht="13.8" x14ac:dyDescent="0.25">
      <c r="A37" s="17" t="s">
        <v>111</v>
      </c>
      <c r="V37" s="15">
        <v>1</v>
      </c>
      <c r="W37" s="15">
        <v>1</v>
      </c>
      <c r="X37" s="15">
        <v>1</v>
      </c>
      <c r="Y37" s="15">
        <v>1</v>
      </c>
      <c r="Z37" s="15">
        <v>1</v>
      </c>
      <c r="AA37" s="15">
        <v>1</v>
      </c>
    </row>
    <row r="38" spans="1:44" ht="13.8" x14ac:dyDescent="0.25">
      <c r="A38" s="17" t="s">
        <v>112</v>
      </c>
      <c r="G38" s="15">
        <v>1</v>
      </c>
      <c r="H38" s="15">
        <v>1</v>
      </c>
      <c r="I38" s="15">
        <v>1</v>
      </c>
      <c r="J38" s="15">
        <v>1</v>
      </c>
      <c r="L38" s="15">
        <v>1</v>
      </c>
      <c r="M38" s="15">
        <v>1</v>
      </c>
      <c r="N38" s="15">
        <v>1</v>
      </c>
      <c r="O38" s="15">
        <v>1</v>
      </c>
      <c r="Q38" s="15">
        <v>1</v>
      </c>
      <c r="R38" s="15">
        <v>1</v>
      </c>
      <c r="S38" s="15">
        <v>1</v>
      </c>
      <c r="T38" s="15">
        <v>1</v>
      </c>
      <c r="AM38" s="15">
        <v>1</v>
      </c>
      <c r="AO38" s="15">
        <v>1</v>
      </c>
      <c r="AP38" s="15">
        <v>1</v>
      </c>
    </row>
    <row r="39" spans="1:44" ht="13.8" x14ac:dyDescent="0.25">
      <c r="A39" s="17" t="s">
        <v>113</v>
      </c>
    </row>
    <row r="40" spans="1:44" ht="13.8" x14ac:dyDescent="0.25">
      <c r="A40" s="17" t="s">
        <v>114</v>
      </c>
      <c r="V40" s="15">
        <v>1</v>
      </c>
      <c r="W40" s="15">
        <v>1</v>
      </c>
      <c r="X40" s="15">
        <v>1</v>
      </c>
      <c r="Y40" s="15">
        <v>1</v>
      </c>
      <c r="Z40" s="15">
        <v>1</v>
      </c>
      <c r="AA40" s="15">
        <v>1</v>
      </c>
    </row>
    <row r="41" spans="1:44" ht="55.2" x14ac:dyDescent="0.25">
      <c r="B41" s="18" t="s">
        <v>33</v>
      </c>
      <c r="C41" s="19" t="s">
        <v>34</v>
      </c>
      <c r="D41" s="20" t="s">
        <v>35</v>
      </c>
      <c r="E41" s="20" t="s">
        <v>36</v>
      </c>
      <c r="F41" s="20" t="s">
        <v>37</v>
      </c>
      <c r="G41" s="19" t="s">
        <v>38</v>
      </c>
      <c r="H41" s="20" t="s">
        <v>39</v>
      </c>
      <c r="I41" s="20" t="s">
        <v>40</v>
      </c>
      <c r="J41" s="20" t="s">
        <v>41</v>
      </c>
      <c r="K41" s="20" t="s">
        <v>42</v>
      </c>
      <c r="L41" s="20" t="s">
        <v>43</v>
      </c>
      <c r="M41" s="20" t="s">
        <v>44</v>
      </c>
      <c r="N41" s="20" t="s">
        <v>45</v>
      </c>
      <c r="O41" s="20" t="s">
        <v>46</v>
      </c>
      <c r="P41" s="20" t="s">
        <v>47</v>
      </c>
      <c r="Q41" s="20" t="s">
        <v>48</v>
      </c>
      <c r="R41" s="20" t="s">
        <v>49</v>
      </c>
      <c r="S41" s="20" t="s">
        <v>50</v>
      </c>
      <c r="T41" s="20" t="s">
        <v>51</v>
      </c>
      <c r="U41" s="20" t="s">
        <v>52</v>
      </c>
      <c r="V41" s="20" t="s">
        <v>53</v>
      </c>
      <c r="W41" s="20" t="s">
        <v>54</v>
      </c>
      <c r="X41" s="20" t="s">
        <v>55</v>
      </c>
      <c r="Y41" s="20" t="s">
        <v>56</v>
      </c>
      <c r="Z41" s="20" t="s">
        <v>57</v>
      </c>
      <c r="AA41" s="20" t="s">
        <v>58</v>
      </c>
      <c r="AB41" s="20" t="s">
        <v>59</v>
      </c>
      <c r="AC41" s="20" t="s">
        <v>60</v>
      </c>
      <c r="AD41" s="20" t="s">
        <v>61</v>
      </c>
      <c r="AE41" s="20" t="s">
        <v>62</v>
      </c>
      <c r="AF41" s="20" t="s">
        <v>63</v>
      </c>
      <c r="AG41" s="20" t="s">
        <v>64</v>
      </c>
      <c r="AH41" s="20" t="s">
        <v>65</v>
      </c>
      <c r="AI41" s="20" t="s">
        <v>66</v>
      </c>
      <c r="AJ41" s="20" t="s">
        <v>67</v>
      </c>
      <c r="AK41" s="20" t="s">
        <v>68</v>
      </c>
      <c r="AL41" s="20" t="s">
        <v>69</v>
      </c>
      <c r="AM41" s="20" t="s">
        <v>70</v>
      </c>
      <c r="AN41" s="20" t="s">
        <v>71</v>
      </c>
      <c r="AO41" s="20" t="s">
        <v>72</v>
      </c>
      <c r="AP41" s="20" t="s">
        <v>73</v>
      </c>
      <c r="AQ41" s="20" t="s">
        <v>74</v>
      </c>
      <c r="AR41" s="20" t="s">
        <v>75</v>
      </c>
    </row>
  </sheetData>
  <conditionalFormatting sqref="B2:AR40">
    <cfRule type="colorScale" priority="1">
      <colorScale>
        <cfvo type="min"/>
        <cfvo type="max"/>
        <color rgb="FF00FF0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35"/>
  <sheetViews>
    <sheetView zoomScale="41" workbookViewId="0">
      <selection activeCell="R42" sqref="R42"/>
    </sheetView>
  </sheetViews>
  <sheetFormatPr defaultColWidth="12.6640625" defaultRowHeight="15.75" customHeight="1" x14ac:dyDescent="0.25"/>
  <sheetData>
    <row r="1" spans="1:41" ht="13.8" thickBot="1" x14ac:dyDescent="0.3">
      <c r="A1" s="21" t="s">
        <v>115</v>
      </c>
      <c r="B1" s="21" t="s">
        <v>33</v>
      </c>
      <c r="C1" s="21" t="s">
        <v>34</v>
      </c>
      <c r="D1" s="21" t="s">
        <v>35</v>
      </c>
      <c r="E1" s="21" t="s">
        <v>36</v>
      </c>
      <c r="F1" s="21" t="s">
        <v>37</v>
      </c>
      <c r="G1" s="21" t="s">
        <v>39</v>
      </c>
      <c r="H1" s="21" t="s">
        <v>40</v>
      </c>
      <c r="I1" s="21" t="s">
        <v>41</v>
      </c>
      <c r="J1" s="21" t="s">
        <v>42</v>
      </c>
      <c r="K1" s="21" t="s">
        <v>43</v>
      </c>
      <c r="L1" s="21" t="s">
        <v>44</v>
      </c>
      <c r="M1" s="21" t="s">
        <v>45</v>
      </c>
      <c r="N1" s="21" t="s">
        <v>46</v>
      </c>
      <c r="O1" s="21" t="s">
        <v>47</v>
      </c>
      <c r="P1" s="21" t="s">
        <v>48</v>
      </c>
      <c r="Q1" s="21" t="s">
        <v>49</v>
      </c>
      <c r="R1" s="21" t="s">
        <v>50</v>
      </c>
      <c r="S1" s="21" t="s">
        <v>51</v>
      </c>
      <c r="T1" s="21" t="s">
        <v>52</v>
      </c>
      <c r="U1" s="21" t="s">
        <v>53</v>
      </c>
      <c r="V1" s="21" t="s">
        <v>54</v>
      </c>
      <c r="W1" s="21" t="s">
        <v>55</v>
      </c>
      <c r="X1" s="21" t="s">
        <v>56</v>
      </c>
      <c r="Y1" s="21" t="s">
        <v>57</v>
      </c>
      <c r="Z1" s="21" t="s">
        <v>58</v>
      </c>
      <c r="AA1" s="21" t="s">
        <v>59</v>
      </c>
      <c r="AB1" s="21" t="s">
        <v>60</v>
      </c>
      <c r="AC1" s="21" t="s">
        <v>61</v>
      </c>
      <c r="AD1" s="21" t="s">
        <v>62</v>
      </c>
      <c r="AE1" s="21" t="s">
        <v>63</v>
      </c>
      <c r="AF1" s="21" t="s">
        <v>64</v>
      </c>
      <c r="AG1" s="21" t="s">
        <v>65</v>
      </c>
      <c r="AH1" s="21" t="s">
        <v>66</v>
      </c>
      <c r="AI1" s="21" t="s">
        <v>67</v>
      </c>
      <c r="AJ1" s="21" t="s">
        <v>68</v>
      </c>
      <c r="AK1" s="21" t="s">
        <v>69</v>
      </c>
      <c r="AL1" s="21" t="s">
        <v>70</v>
      </c>
      <c r="AM1" s="21" t="s">
        <v>71</v>
      </c>
      <c r="AN1" s="21" t="s">
        <v>72</v>
      </c>
      <c r="AO1" s="21" t="s">
        <v>73</v>
      </c>
    </row>
    <row r="2" spans="1:41" ht="13.8" thickBot="1" x14ac:dyDescent="0.3">
      <c r="A2" s="21" t="s">
        <v>76</v>
      </c>
      <c r="B2" s="28" t="s">
        <v>116</v>
      </c>
      <c r="C2" s="28" t="s">
        <v>116</v>
      </c>
      <c r="D2" s="28" t="s">
        <v>116</v>
      </c>
      <c r="E2" s="28" t="s">
        <v>116</v>
      </c>
      <c r="F2" s="28" t="s">
        <v>116</v>
      </c>
      <c r="G2" s="28" t="s">
        <v>116</v>
      </c>
      <c r="H2" s="29" t="s">
        <v>117</v>
      </c>
      <c r="I2" s="29" t="s">
        <v>117</v>
      </c>
      <c r="J2" s="29" t="s">
        <v>117</v>
      </c>
      <c r="K2" s="29" t="s">
        <v>117</v>
      </c>
      <c r="L2" s="29" t="s">
        <v>117</v>
      </c>
      <c r="M2" s="29" t="s">
        <v>117</v>
      </c>
      <c r="N2" s="29" t="s">
        <v>117</v>
      </c>
      <c r="O2" s="29" t="s">
        <v>117</v>
      </c>
      <c r="P2" s="29" t="s">
        <v>117</v>
      </c>
      <c r="Q2" s="29" t="s">
        <v>117</v>
      </c>
      <c r="R2" s="29" t="s">
        <v>117</v>
      </c>
      <c r="S2" s="29" t="s">
        <v>117</v>
      </c>
      <c r="T2" s="29" t="s">
        <v>117</v>
      </c>
      <c r="U2" s="29" t="s">
        <v>117</v>
      </c>
      <c r="V2" s="29" t="s">
        <v>117</v>
      </c>
      <c r="W2" s="29" t="s">
        <v>117</v>
      </c>
      <c r="X2" s="29" t="s">
        <v>117</v>
      </c>
      <c r="Y2" s="29" t="s">
        <v>117</v>
      </c>
      <c r="Z2" s="29" t="s">
        <v>117</v>
      </c>
      <c r="AA2" s="29" t="s">
        <v>117</v>
      </c>
      <c r="AB2" s="29" t="s">
        <v>117</v>
      </c>
      <c r="AC2" s="29" t="s">
        <v>117</v>
      </c>
      <c r="AD2" s="29" t="s">
        <v>117</v>
      </c>
      <c r="AE2" s="29" t="s">
        <v>117</v>
      </c>
      <c r="AF2" s="29" t="s">
        <v>117</v>
      </c>
      <c r="AG2" s="29" t="s">
        <v>117</v>
      </c>
      <c r="AH2" s="29" t="s">
        <v>117</v>
      </c>
      <c r="AI2" s="29" t="s">
        <v>117</v>
      </c>
      <c r="AJ2" s="29" t="s">
        <v>117</v>
      </c>
      <c r="AK2" s="29" t="s">
        <v>117</v>
      </c>
      <c r="AL2" s="29" t="s">
        <v>117</v>
      </c>
      <c r="AM2" s="29" t="s">
        <v>117</v>
      </c>
      <c r="AN2" s="29" t="s">
        <v>117</v>
      </c>
      <c r="AO2" s="29" t="s">
        <v>117</v>
      </c>
    </row>
    <row r="3" spans="1:41" ht="13.8" thickBot="1" x14ac:dyDescent="0.3">
      <c r="A3" s="21" t="s">
        <v>77</v>
      </c>
      <c r="B3" s="29" t="s">
        <v>117</v>
      </c>
      <c r="C3" s="29" t="s">
        <v>117</v>
      </c>
      <c r="D3" s="29" t="s">
        <v>117</v>
      </c>
      <c r="E3" s="29" t="s">
        <v>117</v>
      </c>
      <c r="F3" s="29" t="s">
        <v>117</v>
      </c>
      <c r="G3" s="29" t="s">
        <v>117</v>
      </c>
      <c r="H3" s="28" t="s">
        <v>116</v>
      </c>
      <c r="I3" s="28" t="s">
        <v>116</v>
      </c>
      <c r="J3" s="28" t="s">
        <v>116</v>
      </c>
      <c r="K3" s="28" t="s">
        <v>116</v>
      </c>
      <c r="L3" s="28" t="s">
        <v>116</v>
      </c>
      <c r="M3" s="28" t="s">
        <v>116</v>
      </c>
      <c r="N3" s="28" t="s">
        <v>116</v>
      </c>
      <c r="O3" s="28" t="s">
        <v>116</v>
      </c>
      <c r="P3" s="28" t="s">
        <v>116</v>
      </c>
      <c r="Q3" s="28" t="s">
        <v>116</v>
      </c>
      <c r="R3" s="28" t="s">
        <v>116</v>
      </c>
      <c r="S3" s="28" t="s">
        <v>116</v>
      </c>
      <c r="T3" s="29" t="s">
        <v>117</v>
      </c>
      <c r="U3" s="29" t="s">
        <v>117</v>
      </c>
      <c r="V3" s="29" t="s">
        <v>117</v>
      </c>
      <c r="W3" s="29" t="s">
        <v>117</v>
      </c>
      <c r="X3" s="29" t="s">
        <v>117</v>
      </c>
      <c r="Y3" s="29" t="s">
        <v>117</v>
      </c>
      <c r="Z3" s="29" t="s">
        <v>117</v>
      </c>
      <c r="AA3" s="29" t="s">
        <v>117</v>
      </c>
      <c r="AB3" s="29" t="s">
        <v>117</v>
      </c>
      <c r="AC3" s="29" t="s">
        <v>117</v>
      </c>
      <c r="AD3" s="29" t="s">
        <v>117</v>
      </c>
      <c r="AE3" s="29" t="s">
        <v>117</v>
      </c>
      <c r="AF3" s="29" t="s">
        <v>117</v>
      </c>
      <c r="AG3" s="29" t="s">
        <v>117</v>
      </c>
      <c r="AH3" s="29" t="s">
        <v>117</v>
      </c>
      <c r="AI3" s="29" t="s">
        <v>117</v>
      </c>
      <c r="AJ3" s="29" t="s">
        <v>117</v>
      </c>
      <c r="AK3" s="29" t="s">
        <v>117</v>
      </c>
      <c r="AL3" s="29" t="s">
        <v>117</v>
      </c>
      <c r="AM3" s="29" t="s">
        <v>117</v>
      </c>
      <c r="AN3" s="29" t="s">
        <v>117</v>
      </c>
      <c r="AO3" s="29" t="s">
        <v>117</v>
      </c>
    </row>
    <row r="4" spans="1:41" ht="13.8" thickBot="1" x14ac:dyDescent="0.3">
      <c r="A4" s="21" t="s">
        <v>78</v>
      </c>
      <c r="B4" s="29" t="s">
        <v>117</v>
      </c>
      <c r="C4" s="29" t="s">
        <v>117</v>
      </c>
      <c r="D4" s="29" t="s">
        <v>117</v>
      </c>
      <c r="E4" s="29" t="s">
        <v>117</v>
      </c>
      <c r="F4" s="29" t="s">
        <v>117</v>
      </c>
      <c r="G4" s="29" t="s">
        <v>117</v>
      </c>
      <c r="H4" s="29" t="s">
        <v>117</v>
      </c>
      <c r="I4" s="29" t="s">
        <v>117</v>
      </c>
      <c r="J4" s="28" t="s">
        <v>116</v>
      </c>
      <c r="K4" s="28" t="s">
        <v>116</v>
      </c>
      <c r="L4" s="28" t="s">
        <v>116</v>
      </c>
      <c r="M4" s="28" t="s">
        <v>116</v>
      </c>
      <c r="N4" s="28" t="s">
        <v>116</v>
      </c>
      <c r="O4" s="28" t="s">
        <v>116</v>
      </c>
      <c r="P4" s="28" t="s">
        <v>116</v>
      </c>
      <c r="Q4" s="28" t="s">
        <v>116</v>
      </c>
      <c r="R4" s="28" t="s">
        <v>116</v>
      </c>
      <c r="S4" s="28" t="s">
        <v>116</v>
      </c>
      <c r="T4" s="29" t="s">
        <v>117</v>
      </c>
      <c r="U4" s="29" t="s">
        <v>117</v>
      </c>
      <c r="V4" s="29" t="s">
        <v>117</v>
      </c>
      <c r="W4" s="29" t="s">
        <v>117</v>
      </c>
      <c r="X4" s="29" t="s">
        <v>117</v>
      </c>
      <c r="Y4" s="29" t="s">
        <v>117</v>
      </c>
      <c r="Z4" s="29" t="s">
        <v>117</v>
      </c>
      <c r="AA4" s="29" t="s">
        <v>117</v>
      </c>
      <c r="AB4" s="29" t="s">
        <v>117</v>
      </c>
      <c r="AC4" s="29" t="s">
        <v>117</v>
      </c>
      <c r="AD4" s="29" t="s">
        <v>117</v>
      </c>
      <c r="AE4" s="29" t="s">
        <v>117</v>
      </c>
      <c r="AF4" s="29" t="s">
        <v>117</v>
      </c>
      <c r="AG4" s="29" t="s">
        <v>117</v>
      </c>
      <c r="AH4" s="29" t="s">
        <v>117</v>
      </c>
      <c r="AI4" s="29" t="s">
        <v>117</v>
      </c>
      <c r="AJ4" s="29" t="s">
        <v>117</v>
      </c>
      <c r="AK4" s="29" t="s">
        <v>117</v>
      </c>
      <c r="AL4" s="29" t="s">
        <v>117</v>
      </c>
      <c r="AM4" s="29" t="s">
        <v>117</v>
      </c>
      <c r="AN4" s="29" t="s">
        <v>117</v>
      </c>
      <c r="AO4" s="29" t="s">
        <v>117</v>
      </c>
    </row>
    <row r="5" spans="1:41" ht="13.8" thickBot="1" x14ac:dyDescent="0.3">
      <c r="A5" s="21" t="s">
        <v>79</v>
      </c>
      <c r="B5" s="29" t="s">
        <v>117</v>
      </c>
      <c r="C5" s="29" t="s">
        <v>117</v>
      </c>
      <c r="D5" s="29" t="s">
        <v>117</v>
      </c>
      <c r="E5" s="29" t="s">
        <v>117</v>
      </c>
      <c r="F5" s="29" t="s">
        <v>117</v>
      </c>
      <c r="G5" s="29" t="s">
        <v>117</v>
      </c>
      <c r="H5" s="29" t="s">
        <v>117</v>
      </c>
      <c r="I5" s="29" t="s">
        <v>117</v>
      </c>
      <c r="J5" s="29" t="s">
        <v>117</v>
      </c>
      <c r="K5" s="29" t="s">
        <v>117</v>
      </c>
      <c r="L5" s="28" t="s">
        <v>116</v>
      </c>
      <c r="M5" s="28" t="s">
        <v>116</v>
      </c>
      <c r="N5" s="28" t="s">
        <v>116</v>
      </c>
      <c r="O5" s="29" t="s">
        <v>117</v>
      </c>
      <c r="P5" s="29" t="s">
        <v>117</v>
      </c>
      <c r="Q5" s="29" t="s">
        <v>117</v>
      </c>
      <c r="R5" s="29" t="s">
        <v>117</v>
      </c>
      <c r="S5" s="29" t="s">
        <v>117</v>
      </c>
      <c r="T5" s="29" t="s">
        <v>117</v>
      </c>
      <c r="U5" s="29" t="s">
        <v>117</v>
      </c>
      <c r="V5" s="29" t="s">
        <v>117</v>
      </c>
      <c r="W5" s="29" t="s">
        <v>117</v>
      </c>
      <c r="X5" s="29" t="s">
        <v>117</v>
      </c>
      <c r="Y5" s="29" t="s">
        <v>117</v>
      </c>
      <c r="Z5" s="29" t="s">
        <v>117</v>
      </c>
      <c r="AA5" s="29" t="s">
        <v>117</v>
      </c>
      <c r="AB5" s="29" t="s">
        <v>117</v>
      </c>
      <c r="AC5" s="29" t="s">
        <v>117</v>
      </c>
      <c r="AD5" s="29" t="s">
        <v>117</v>
      </c>
      <c r="AE5" s="29" t="s">
        <v>117</v>
      </c>
      <c r="AF5" s="29" t="s">
        <v>117</v>
      </c>
      <c r="AG5" s="29" t="s">
        <v>117</v>
      </c>
      <c r="AH5" s="29" t="s">
        <v>117</v>
      </c>
      <c r="AI5" s="29" t="s">
        <v>117</v>
      </c>
      <c r="AJ5" s="29" t="s">
        <v>117</v>
      </c>
      <c r="AK5" s="29" t="s">
        <v>117</v>
      </c>
      <c r="AL5" s="29" t="s">
        <v>117</v>
      </c>
      <c r="AM5" s="29" t="s">
        <v>117</v>
      </c>
      <c r="AN5" s="29" t="s">
        <v>117</v>
      </c>
      <c r="AO5" s="29" t="s">
        <v>117</v>
      </c>
    </row>
    <row r="6" spans="1:41" ht="13.8" thickBot="1" x14ac:dyDescent="0.3">
      <c r="A6" s="21" t="s">
        <v>80</v>
      </c>
      <c r="B6" s="29" t="s">
        <v>117</v>
      </c>
      <c r="C6" s="29" t="s">
        <v>117</v>
      </c>
      <c r="D6" s="29" t="s">
        <v>117</v>
      </c>
      <c r="E6" s="29" t="s">
        <v>117</v>
      </c>
      <c r="F6" s="29" t="s">
        <v>117</v>
      </c>
      <c r="G6" s="29" t="s">
        <v>117</v>
      </c>
      <c r="H6" s="29" t="s">
        <v>117</v>
      </c>
      <c r="I6" s="28" t="s">
        <v>116</v>
      </c>
      <c r="J6" s="28" t="s">
        <v>116</v>
      </c>
      <c r="K6" s="29" t="s">
        <v>117</v>
      </c>
      <c r="L6" s="29" t="s">
        <v>117</v>
      </c>
      <c r="M6" s="29" t="s">
        <v>117</v>
      </c>
      <c r="N6" s="29" t="s">
        <v>117</v>
      </c>
      <c r="O6" s="29" t="s">
        <v>117</v>
      </c>
      <c r="P6" s="29" t="s">
        <v>117</v>
      </c>
      <c r="Q6" s="29" t="s">
        <v>117</v>
      </c>
      <c r="R6" s="29" t="s">
        <v>117</v>
      </c>
      <c r="S6" s="28" t="s">
        <v>116</v>
      </c>
      <c r="T6" s="28" t="s">
        <v>116</v>
      </c>
      <c r="U6" s="29" t="s">
        <v>117</v>
      </c>
      <c r="V6" s="29" t="s">
        <v>117</v>
      </c>
      <c r="W6" s="29" t="s">
        <v>117</v>
      </c>
      <c r="X6" s="29" t="s">
        <v>117</v>
      </c>
      <c r="Y6" s="29" t="s">
        <v>117</v>
      </c>
      <c r="Z6" s="29" t="s">
        <v>117</v>
      </c>
      <c r="AA6" s="29" t="s">
        <v>117</v>
      </c>
      <c r="AB6" s="29" t="s">
        <v>117</v>
      </c>
      <c r="AC6" s="29" t="s">
        <v>117</v>
      </c>
      <c r="AD6" s="29" t="s">
        <v>117</v>
      </c>
      <c r="AE6" s="29" t="s">
        <v>117</v>
      </c>
      <c r="AF6" s="29" t="s">
        <v>117</v>
      </c>
      <c r="AG6" s="29" t="s">
        <v>117</v>
      </c>
      <c r="AH6" s="29" t="s">
        <v>117</v>
      </c>
      <c r="AI6" s="29" t="s">
        <v>117</v>
      </c>
      <c r="AJ6" s="29" t="s">
        <v>117</v>
      </c>
      <c r="AK6" s="29" t="s">
        <v>117</v>
      </c>
      <c r="AL6" s="29" t="s">
        <v>117</v>
      </c>
      <c r="AM6" s="29" t="s">
        <v>117</v>
      </c>
      <c r="AN6" s="29" t="s">
        <v>117</v>
      </c>
      <c r="AO6" s="29" t="s">
        <v>117</v>
      </c>
    </row>
    <row r="7" spans="1:41" ht="13.8" thickBot="1" x14ac:dyDescent="0.3">
      <c r="A7" s="21" t="s">
        <v>81</v>
      </c>
      <c r="B7" s="29" t="s">
        <v>117</v>
      </c>
      <c r="C7" s="29" t="s">
        <v>117</v>
      </c>
      <c r="D7" s="29" t="s">
        <v>117</v>
      </c>
      <c r="E7" s="29" t="s">
        <v>117</v>
      </c>
      <c r="F7" s="29" t="s">
        <v>117</v>
      </c>
      <c r="G7" s="29" t="s">
        <v>117</v>
      </c>
      <c r="H7" s="29" t="s">
        <v>117</v>
      </c>
      <c r="I7" s="29" t="s">
        <v>117</v>
      </c>
      <c r="J7" s="29" t="s">
        <v>117</v>
      </c>
      <c r="K7" s="29" t="s">
        <v>117</v>
      </c>
      <c r="L7" s="29" t="s">
        <v>117</v>
      </c>
      <c r="M7" s="29" t="s">
        <v>117</v>
      </c>
      <c r="N7" s="29" t="s">
        <v>117</v>
      </c>
      <c r="O7" s="29" t="s">
        <v>117</v>
      </c>
      <c r="P7" s="29" t="s">
        <v>117</v>
      </c>
      <c r="Q7" s="29" t="s">
        <v>117</v>
      </c>
      <c r="R7" s="29" t="s">
        <v>117</v>
      </c>
      <c r="S7" s="29" t="s">
        <v>117</v>
      </c>
      <c r="T7" s="29" t="s">
        <v>117</v>
      </c>
      <c r="U7" s="28" t="s">
        <v>116</v>
      </c>
      <c r="V7" s="28" t="s">
        <v>116</v>
      </c>
      <c r="W7" s="28" t="s">
        <v>116</v>
      </c>
      <c r="X7" s="28" t="s">
        <v>116</v>
      </c>
      <c r="Y7" s="28" t="s">
        <v>116</v>
      </c>
      <c r="Z7" s="28" t="s">
        <v>116</v>
      </c>
      <c r="AA7" s="29" t="s">
        <v>117</v>
      </c>
      <c r="AB7" s="29" t="s">
        <v>117</v>
      </c>
      <c r="AC7" s="29" t="s">
        <v>117</v>
      </c>
      <c r="AD7" s="29" t="s">
        <v>117</v>
      </c>
      <c r="AE7" s="29" t="s">
        <v>117</v>
      </c>
      <c r="AF7" s="29" t="s">
        <v>117</v>
      </c>
      <c r="AG7" s="29" t="s">
        <v>117</v>
      </c>
      <c r="AH7" s="29" t="s">
        <v>117</v>
      </c>
      <c r="AI7" s="29" t="s">
        <v>117</v>
      </c>
      <c r="AJ7" s="29" t="s">
        <v>117</v>
      </c>
      <c r="AK7" s="29" t="s">
        <v>117</v>
      </c>
      <c r="AL7" s="29" t="s">
        <v>117</v>
      </c>
      <c r="AM7" s="29" t="s">
        <v>117</v>
      </c>
      <c r="AN7" s="29" t="s">
        <v>117</v>
      </c>
      <c r="AO7" s="29" t="s">
        <v>117</v>
      </c>
    </row>
    <row r="8" spans="1:41" ht="13.8" thickBot="1" x14ac:dyDescent="0.3">
      <c r="A8" s="21" t="s">
        <v>82</v>
      </c>
      <c r="B8" s="29" t="s">
        <v>117</v>
      </c>
      <c r="C8" s="29" t="s">
        <v>117</v>
      </c>
      <c r="D8" s="29" t="s">
        <v>117</v>
      </c>
      <c r="E8" s="29" t="s">
        <v>117</v>
      </c>
      <c r="F8" s="29" t="s">
        <v>117</v>
      </c>
      <c r="G8" s="29" t="s">
        <v>117</v>
      </c>
      <c r="H8" s="29" t="s">
        <v>117</v>
      </c>
      <c r="I8" s="29" t="s">
        <v>117</v>
      </c>
      <c r="J8" s="29" t="s">
        <v>117</v>
      </c>
      <c r="K8" s="29" t="s">
        <v>117</v>
      </c>
      <c r="L8" s="29" t="s">
        <v>117</v>
      </c>
      <c r="M8" s="29" t="s">
        <v>117</v>
      </c>
      <c r="N8" s="29" t="s">
        <v>117</v>
      </c>
      <c r="O8" s="29" t="s">
        <v>117</v>
      </c>
      <c r="P8" s="29" t="s">
        <v>117</v>
      </c>
      <c r="Q8" s="29" t="s">
        <v>117</v>
      </c>
      <c r="R8" s="29" t="s">
        <v>117</v>
      </c>
      <c r="S8" s="29" t="s">
        <v>117</v>
      </c>
      <c r="T8" s="29" t="s">
        <v>117</v>
      </c>
      <c r="U8" s="29" t="s">
        <v>117</v>
      </c>
      <c r="V8" s="29" t="s">
        <v>117</v>
      </c>
      <c r="W8" s="29" t="s">
        <v>117</v>
      </c>
      <c r="X8" s="29" t="s">
        <v>117</v>
      </c>
      <c r="Y8" s="29" t="s">
        <v>117</v>
      </c>
      <c r="Z8" s="28" t="s">
        <v>116</v>
      </c>
      <c r="AA8" s="30" t="s">
        <v>118</v>
      </c>
      <c r="AB8" s="28" t="s">
        <v>116</v>
      </c>
      <c r="AC8" s="28" t="s">
        <v>116</v>
      </c>
      <c r="AD8" s="28" t="s">
        <v>116</v>
      </c>
      <c r="AE8" s="28" t="s">
        <v>116</v>
      </c>
      <c r="AF8" s="29" t="s">
        <v>117</v>
      </c>
      <c r="AG8" s="29" t="s">
        <v>117</v>
      </c>
      <c r="AH8" s="28" t="s">
        <v>116</v>
      </c>
      <c r="AI8" s="28" t="s">
        <v>116</v>
      </c>
      <c r="AJ8" s="30" t="s">
        <v>118</v>
      </c>
      <c r="AK8" s="28" t="s">
        <v>116</v>
      </c>
      <c r="AL8" s="29" t="s">
        <v>117</v>
      </c>
      <c r="AM8" s="29" t="s">
        <v>117</v>
      </c>
      <c r="AN8" s="29" t="s">
        <v>117</v>
      </c>
      <c r="AO8" s="29" t="s">
        <v>117</v>
      </c>
    </row>
    <row r="9" spans="1:41" ht="13.8" thickBot="1" x14ac:dyDescent="0.3">
      <c r="A9" s="21" t="s">
        <v>83</v>
      </c>
      <c r="B9" s="29" t="s">
        <v>117</v>
      </c>
      <c r="C9" s="29" t="s">
        <v>117</v>
      </c>
      <c r="D9" s="29" t="s">
        <v>117</v>
      </c>
      <c r="E9" s="29" t="s">
        <v>117</v>
      </c>
      <c r="F9" s="29" t="s">
        <v>117</v>
      </c>
      <c r="G9" s="29" t="s">
        <v>117</v>
      </c>
      <c r="H9" s="29" t="s">
        <v>117</v>
      </c>
      <c r="I9" s="29" t="s">
        <v>117</v>
      </c>
      <c r="J9" s="29" t="s">
        <v>117</v>
      </c>
      <c r="K9" s="29" t="s">
        <v>117</v>
      </c>
      <c r="L9" s="29" t="s">
        <v>117</v>
      </c>
      <c r="M9" s="29" t="s">
        <v>117</v>
      </c>
      <c r="N9" s="29" t="s">
        <v>117</v>
      </c>
      <c r="O9" s="29" t="s">
        <v>117</v>
      </c>
      <c r="P9" s="29" t="s">
        <v>117</v>
      </c>
      <c r="Q9" s="29" t="s">
        <v>117</v>
      </c>
      <c r="R9" s="29" t="s">
        <v>117</v>
      </c>
      <c r="S9" s="28" t="s">
        <v>116</v>
      </c>
      <c r="T9" s="28" t="s">
        <v>116</v>
      </c>
      <c r="U9" s="29" t="s">
        <v>117</v>
      </c>
      <c r="V9" s="28" t="s">
        <v>116</v>
      </c>
      <c r="W9" s="28" t="s">
        <v>116</v>
      </c>
      <c r="X9" s="28" t="s">
        <v>116</v>
      </c>
      <c r="Y9" s="29" t="s">
        <v>117</v>
      </c>
      <c r="Z9" s="28" t="s">
        <v>116</v>
      </c>
      <c r="AA9" s="29" t="s">
        <v>117</v>
      </c>
      <c r="AB9" s="29" t="s">
        <v>117</v>
      </c>
      <c r="AC9" s="29" t="s">
        <v>117</v>
      </c>
      <c r="AD9" s="29" t="s">
        <v>117</v>
      </c>
      <c r="AE9" s="28" t="s">
        <v>116</v>
      </c>
      <c r="AF9" s="28" t="s">
        <v>116</v>
      </c>
      <c r="AG9" s="28" t="s">
        <v>116</v>
      </c>
      <c r="AH9" s="29" t="s">
        <v>117</v>
      </c>
      <c r="AI9" s="29" t="s">
        <v>117</v>
      </c>
      <c r="AJ9" s="29" t="s">
        <v>117</v>
      </c>
      <c r="AK9" s="29" t="s">
        <v>117</v>
      </c>
      <c r="AL9" s="29" t="s">
        <v>117</v>
      </c>
      <c r="AM9" s="29" t="s">
        <v>117</v>
      </c>
      <c r="AN9" s="29" t="s">
        <v>117</v>
      </c>
      <c r="AO9" s="29" t="s">
        <v>117</v>
      </c>
    </row>
    <row r="10" spans="1:41" ht="13.8" thickBot="1" x14ac:dyDescent="0.3">
      <c r="A10" s="21" t="s">
        <v>84</v>
      </c>
      <c r="B10" s="29" t="s">
        <v>117</v>
      </c>
      <c r="C10" s="29" t="s">
        <v>117</v>
      </c>
      <c r="D10" s="29" t="s">
        <v>117</v>
      </c>
      <c r="E10" s="29" t="s">
        <v>117</v>
      </c>
      <c r="F10" s="29" t="s">
        <v>117</v>
      </c>
      <c r="G10" s="29" t="s">
        <v>117</v>
      </c>
      <c r="H10" s="29" t="s">
        <v>117</v>
      </c>
      <c r="I10" s="28" t="s">
        <v>116</v>
      </c>
      <c r="J10" s="28" t="s">
        <v>116</v>
      </c>
      <c r="K10" s="28" t="s">
        <v>116</v>
      </c>
      <c r="L10" s="30" t="s">
        <v>118</v>
      </c>
      <c r="M10" s="30" t="s">
        <v>118</v>
      </c>
      <c r="N10" s="28" t="s">
        <v>116</v>
      </c>
      <c r="O10" s="29" t="s">
        <v>117</v>
      </c>
      <c r="P10" s="28" t="s">
        <v>116</v>
      </c>
      <c r="Q10" s="28" t="s">
        <v>116</v>
      </c>
      <c r="R10" s="28" t="s">
        <v>116</v>
      </c>
      <c r="S10" s="28" t="s">
        <v>116</v>
      </c>
      <c r="T10" s="29" t="s">
        <v>117</v>
      </c>
      <c r="U10" s="29" t="s">
        <v>117</v>
      </c>
      <c r="V10" s="29" t="s">
        <v>117</v>
      </c>
      <c r="W10" s="29" t="s">
        <v>117</v>
      </c>
      <c r="X10" s="29" t="s">
        <v>117</v>
      </c>
      <c r="Y10" s="29" t="s">
        <v>117</v>
      </c>
      <c r="Z10" s="29" t="s">
        <v>117</v>
      </c>
      <c r="AA10" s="29" t="s">
        <v>117</v>
      </c>
      <c r="AB10" s="29" t="s">
        <v>117</v>
      </c>
      <c r="AC10" s="29" t="s">
        <v>117</v>
      </c>
      <c r="AD10" s="29" t="s">
        <v>117</v>
      </c>
      <c r="AE10" s="29" t="s">
        <v>117</v>
      </c>
      <c r="AF10" s="29" t="s">
        <v>117</v>
      </c>
      <c r="AG10" s="29" t="s">
        <v>117</v>
      </c>
      <c r="AH10" s="29" t="s">
        <v>117</v>
      </c>
      <c r="AI10" s="29" t="s">
        <v>117</v>
      </c>
      <c r="AJ10" s="29" t="s">
        <v>117</v>
      </c>
      <c r="AK10" s="29" t="s">
        <v>117</v>
      </c>
      <c r="AL10" s="28" t="s">
        <v>116</v>
      </c>
      <c r="AM10" s="29" t="s">
        <v>117</v>
      </c>
      <c r="AN10" s="29" t="s">
        <v>117</v>
      </c>
      <c r="AO10" s="29" t="s">
        <v>117</v>
      </c>
    </row>
    <row r="11" spans="1:41" ht="13.8" thickBot="1" x14ac:dyDescent="0.3">
      <c r="A11" s="21" t="s">
        <v>85</v>
      </c>
      <c r="B11" s="29" t="s">
        <v>117</v>
      </c>
      <c r="C11" s="29" t="s">
        <v>117</v>
      </c>
      <c r="D11" s="29" t="s">
        <v>117</v>
      </c>
      <c r="E11" s="29" t="s">
        <v>117</v>
      </c>
      <c r="F11" s="29" t="s">
        <v>117</v>
      </c>
      <c r="G11" s="29" t="s">
        <v>117</v>
      </c>
      <c r="H11" s="29" t="s">
        <v>117</v>
      </c>
      <c r="I11" s="29" t="s">
        <v>117</v>
      </c>
      <c r="J11" s="29" t="s">
        <v>117</v>
      </c>
      <c r="K11" s="29" t="s">
        <v>117</v>
      </c>
      <c r="L11" s="29" t="s">
        <v>117</v>
      </c>
      <c r="M11" s="29" t="s">
        <v>117</v>
      </c>
      <c r="N11" s="29" t="s">
        <v>117</v>
      </c>
      <c r="O11" s="29" t="s">
        <v>117</v>
      </c>
      <c r="P11" s="29" t="s">
        <v>117</v>
      </c>
      <c r="Q11" s="29" t="s">
        <v>117</v>
      </c>
      <c r="R11" s="29" t="s">
        <v>117</v>
      </c>
      <c r="S11" s="29" t="s">
        <v>117</v>
      </c>
      <c r="T11" s="29" t="s">
        <v>117</v>
      </c>
      <c r="U11" s="29" t="s">
        <v>117</v>
      </c>
      <c r="V11" s="29" t="s">
        <v>117</v>
      </c>
      <c r="W11" s="29" t="s">
        <v>117</v>
      </c>
      <c r="X11" s="29" t="s">
        <v>117</v>
      </c>
      <c r="Y11" s="29" t="s">
        <v>117</v>
      </c>
      <c r="Z11" s="28" t="s">
        <v>116</v>
      </c>
      <c r="AA11" s="28" t="s">
        <v>116</v>
      </c>
      <c r="AB11" s="28" t="s">
        <v>116</v>
      </c>
      <c r="AC11" s="28" t="s">
        <v>116</v>
      </c>
      <c r="AD11" s="28" t="s">
        <v>116</v>
      </c>
      <c r="AE11" s="28" t="s">
        <v>116</v>
      </c>
      <c r="AF11" s="29" t="s">
        <v>117</v>
      </c>
      <c r="AG11" s="29" t="s">
        <v>117</v>
      </c>
      <c r="AH11" s="28" t="s">
        <v>116</v>
      </c>
      <c r="AI11" s="29" t="s">
        <v>117</v>
      </c>
      <c r="AJ11" s="29" t="s">
        <v>117</v>
      </c>
      <c r="AK11" s="29" t="s">
        <v>117</v>
      </c>
      <c r="AL11" s="29" t="s">
        <v>117</v>
      </c>
      <c r="AM11" s="29" t="s">
        <v>117</v>
      </c>
      <c r="AN11" s="29" t="s">
        <v>117</v>
      </c>
      <c r="AO11" s="29" t="s">
        <v>117</v>
      </c>
    </row>
    <row r="12" spans="1:41" ht="13.8" thickBot="1" x14ac:dyDescent="0.3">
      <c r="A12" s="21" t="s">
        <v>86</v>
      </c>
      <c r="B12" s="29" t="s">
        <v>117</v>
      </c>
      <c r="C12" s="29" t="s">
        <v>117</v>
      </c>
      <c r="D12" s="29" t="s">
        <v>117</v>
      </c>
      <c r="E12" s="29" t="s">
        <v>117</v>
      </c>
      <c r="F12" s="29" t="s">
        <v>117</v>
      </c>
      <c r="G12" s="29" t="s">
        <v>117</v>
      </c>
      <c r="H12" s="29" t="s">
        <v>117</v>
      </c>
      <c r="I12" s="29" t="s">
        <v>117</v>
      </c>
      <c r="J12" s="29" t="s">
        <v>117</v>
      </c>
      <c r="K12" s="29" t="s">
        <v>117</v>
      </c>
      <c r="L12" s="29" t="s">
        <v>117</v>
      </c>
      <c r="M12" s="29" t="s">
        <v>117</v>
      </c>
      <c r="N12" s="29" t="s">
        <v>117</v>
      </c>
      <c r="O12" s="29" t="s">
        <v>117</v>
      </c>
      <c r="P12" s="29" t="s">
        <v>117</v>
      </c>
      <c r="Q12" s="29" t="s">
        <v>117</v>
      </c>
      <c r="R12" s="29" t="s">
        <v>117</v>
      </c>
      <c r="S12" s="29" t="s">
        <v>117</v>
      </c>
      <c r="T12" s="29" t="s">
        <v>117</v>
      </c>
      <c r="U12" s="29" t="s">
        <v>117</v>
      </c>
      <c r="V12" s="29" t="s">
        <v>117</v>
      </c>
      <c r="W12" s="29" t="s">
        <v>117</v>
      </c>
      <c r="X12" s="29" t="s">
        <v>117</v>
      </c>
      <c r="Y12" s="29" t="s">
        <v>117</v>
      </c>
      <c r="Z12" s="28" t="s">
        <v>116</v>
      </c>
      <c r="AA12" s="29" t="s">
        <v>117</v>
      </c>
      <c r="AB12" s="29" t="s">
        <v>117</v>
      </c>
      <c r="AC12" s="29" t="s">
        <v>117</v>
      </c>
      <c r="AD12" s="29" t="s">
        <v>117</v>
      </c>
      <c r="AE12" s="28" t="s">
        <v>116</v>
      </c>
      <c r="AF12" s="28" t="s">
        <v>116</v>
      </c>
      <c r="AG12" s="29" t="s">
        <v>117</v>
      </c>
      <c r="AH12" s="31" t="s">
        <v>119</v>
      </c>
      <c r="AI12" s="28" t="s">
        <v>116</v>
      </c>
      <c r="AJ12" s="28" t="s">
        <v>116</v>
      </c>
      <c r="AK12" s="28" t="s">
        <v>116</v>
      </c>
      <c r="AL12" s="29" t="s">
        <v>117</v>
      </c>
      <c r="AM12" s="28" t="s">
        <v>116</v>
      </c>
      <c r="AN12" s="29" t="s">
        <v>117</v>
      </c>
      <c r="AO12" s="29" t="s">
        <v>117</v>
      </c>
    </row>
    <row r="13" spans="1:41" ht="13.8" thickBot="1" x14ac:dyDescent="0.3">
      <c r="A13" s="21" t="s">
        <v>87</v>
      </c>
      <c r="B13" s="29" t="s">
        <v>117</v>
      </c>
      <c r="C13" s="29" t="s">
        <v>117</v>
      </c>
      <c r="D13" s="29" t="s">
        <v>117</v>
      </c>
      <c r="E13" s="29" t="s">
        <v>117</v>
      </c>
      <c r="F13" s="29" t="s">
        <v>117</v>
      </c>
      <c r="G13" s="29" t="s">
        <v>117</v>
      </c>
      <c r="H13" s="29" t="s">
        <v>117</v>
      </c>
      <c r="I13" s="29" t="s">
        <v>117</v>
      </c>
      <c r="J13" s="29" t="s">
        <v>117</v>
      </c>
      <c r="K13" s="29" t="s">
        <v>117</v>
      </c>
      <c r="L13" s="29" t="s">
        <v>117</v>
      </c>
      <c r="M13" s="29" t="s">
        <v>117</v>
      </c>
      <c r="N13" s="29" t="s">
        <v>117</v>
      </c>
      <c r="O13" s="29" t="s">
        <v>117</v>
      </c>
      <c r="P13" s="29" t="s">
        <v>117</v>
      </c>
      <c r="Q13" s="29" t="s">
        <v>117</v>
      </c>
      <c r="R13" s="29" t="s">
        <v>117</v>
      </c>
      <c r="S13" s="29" t="s">
        <v>117</v>
      </c>
      <c r="T13" s="29" t="s">
        <v>117</v>
      </c>
      <c r="U13" s="29" t="s">
        <v>117</v>
      </c>
      <c r="V13" s="29" t="s">
        <v>117</v>
      </c>
      <c r="W13" s="29" t="s">
        <v>117</v>
      </c>
      <c r="X13" s="29" t="s">
        <v>117</v>
      </c>
      <c r="Y13" s="29" t="s">
        <v>117</v>
      </c>
      <c r="Z13" s="29" t="s">
        <v>117</v>
      </c>
      <c r="AA13" s="29" t="s">
        <v>117</v>
      </c>
      <c r="AB13" s="29" t="s">
        <v>117</v>
      </c>
      <c r="AC13" s="29" t="s">
        <v>117</v>
      </c>
      <c r="AD13" s="29" t="s">
        <v>117</v>
      </c>
      <c r="AE13" s="28" t="s">
        <v>116</v>
      </c>
      <c r="AF13" s="28" t="s">
        <v>116</v>
      </c>
      <c r="AG13" s="29" t="s">
        <v>117</v>
      </c>
      <c r="AH13" s="29" t="s">
        <v>117</v>
      </c>
      <c r="AI13" s="29" t="s">
        <v>117</v>
      </c>
      <c r="AJ13" s="29" t="s">
        <v>117</v>
      </c>
      <c r="AK13" s="29" t="s">
        <v>117</v>
      </c>
      <c r="AL13" s="29" t="s">
        <v>117</v>
      </c>
      <c r="AM13" s="29" t="s">
        <v>117</v>
      </c>
      <c r="AN13" s="29" t="s">
        <v>117</v>
      </c>
      <c r="AO13" s="29" t="s">
        <v>117</v>
      </c>
    </row>
    <row r="14" spans="1:41" ht="13.8" thickBot="1" x14ac:dyDescent="0.3">
      <c r="A14" s="21" t="s">
        <v>88</v>
      </c>
      <c r="B14" s="29" t="s">
        <v>117</v>
      </c>
      <c r="C14" s="29" t="s">
        <v>117</v>
      </c>
      <c r="D14" s="29" t="s">
        <v>117</v>
      </c>
      <c r="E14" s="29" t="s">
        <v>117</v>
      </c>
      <c r="F14" s="29" t="s">
        <v>117</v>
      </c>
      <c r="G14" s="29" t="s">
        <v>117</v>
      </c>
      <c r="H14" s="29" t="s">
        <v>117</v>
      </c>
      <c r="I14" s="29" t="s">
        <v>117</v>
      </c>
      <c r="J14" s="29" t="s">
        <v>117</v>
      </c>
      <c r="K14" s="29" t="s">
        <v>117</v>
      </c>
      <c r="L14" s="29" t="s">
        <v>117</v>
      </c>
      <c r="M14" s="29" t="s">
        <v>117</v>
      </c>
      <c r="N14" s="29" t="s">
        <v>117</v>
      </c>
      <c r="O14" s="29" t="s">
        <v>117</v>
      </c>
      <c r="P14" s="29" t="s">
        <v>117</v>
      </c>
      <c r="Q14" s="29" t="s">
        <v>117</v>
      </c>
      <c r="R14" s="29" t="s">
        <v>117</v>
      </c>
      <c r="S14" s="29" t="s">
        <v>117</v>
      </c>
      <c r="T14" s="29" t="s">
        <v>117</v>
      </c>
      <c r="U14" s="28" t="s">
        <v>116</v>
      </c>
      <c r="V14" s="28" t="s">
        <v>116</v>
      </c>
      <c r="W14" s="28" t="s">
        <v>116</v>
      </c>
      <c r="X14" s="28" t="s">
        <v>116</v>
      </c>
      <c r="Y14" s="28" t="s">
        <v>116</v>
      </c>
      <c r="Z14" s="28" t="s">
        <v>116</v>
      </c>
      <c r="AA14" s="29" t="s">
        <v>117</v>
      </c>
      <c r="AB14" s="29" t="s">
        <v>117</v>
      </c>
      <c r="AC14" s="29" t="s">
        <v>117</v>
      </c>
      <c r="AD14" s="29" t="s">
        <v>117</v>
      </c>
      <c r="AE14" s="29" t="s">
        <v>117</v>
      </c>
      <c r="AF14" s="29" t="s">
        <v>117</v>
      </c>
      <c r="AG14" s="28" t="s">
        <v>116</v>
      </c>
      <c r="AH14" s="29" t="s">
        <v>117</v>
      </c>
      <c r="AI14" s="29" t="s">
        <v>117</v>
      </c>
      <c r="AJ14" s="29" t="s">
        <v>117</v>
      </c>
      <c r="AK14" s="29" t="s">
        <v>117</v>
      </c>
      <c r="AL14" s="29" t="s">
        <v>117</v>
      </c>
      <c r="AM14" s="29" t="s">
        <v>117</v>
      </c>
      <c r="AN14" s="29" t="s">
        <v>117</v>
      </c>
      <c r="AO14" s="29" t="s">
        <v>117</v>
      </c>
    </row>
    <row r="15" spans="1:41" ht="13.8" thickBot="1" x14ac:dyDescent="0.3">
      <c r="A15" s="21" t="s">
        <v>89</v>
      </c>
      <c r="B15" s="29" t="s">
        <v>117</v>
      </c>
      <c r="C15" s="29" t="s">
        <v>117</v>
      </c>
      <c r="D15" s="29" t="s">
        <v>117</v>
      </c>
      <c r="E15" s="29" t="s">
        <v>117</v>
      </c>
      <c r="F15" s="29" t="s">
        <v>117</v>
      </c>
      <c r="G15" s="29" t="s">
        <v>117</v>
      </c>
      <c r="H15" s="29" t="s">
        <v>117</v>
      </c>
      <c r="I15" s="29" t="s">
        <v>117</v>
      </c>
      <c r="J15" s="29" t="s">
        <v>117</v>
      </c>
      <c r="K15" s="29" t="s">
        <v>117</v>
      </c>
      <c r="L15" s="29" t="s">
        <v>117</v>
      </c>
      <c r="M15" s="29" t="s">
        <v>117</v>
      </c>
      <c r="N15" s="29" t="s">
        <v>117</v>
      </c>
      <c r="O15" s="29" t="s">
        <v>117</v>
      </c>
      <c r="P15" s="29" t="s">
        <v>117</v>
      </c>
      <c r="Q15" s="29" t="s">
        <v>117</v>
      </c>
      <c r="R15" s="29" t="s">
        <v>117</v>
      </c>
      <c r="S15" s="29" t="s">
        <v>117</v>
      </c>
      <c r="T15" s="29" t="s">
        <v>117</v>
      </c>
      <c r="U15" s="29" t="s">
        <v>117</v>
      </c>
      <c r="V15" s="29" t="s">
        <v>117</v>
      </c>
      <c r="W15" s="29" t="s">
        <v>117</v>
      </c>
      <c r="X15" s="29" t="s">
        <v>117</v>
      </c>
      <c r="Y15" s="29" t="s">
        <v>117</v>
      </c>
      <c r="Z15" s="29" t="s">
        <v>117</v>
      </c>
      <c r="AA15" s="28" t="s">
        <v>116</v>
      </c>
      <c r="AB15" s="29" t="s">
        <v>117</v>
      </c>
      <c r="AC15" s="29" t="s">
        <v>117</v>
      </c>
      <c r="AD15" s="29" t="s">
        <v>117</v>
      </c>
      <c r="AE15" s="29" t="s">
        <v>117</v>
      </c>
      <c r="AF15" s="29" t="s">
        <v>117</v>
      </c>
      <c r="AG15" s="29" t="s">
        <v>117</v>
      </c>
      <c r="AH15" s="29" t="s">
        <v>117</v>
      </c>
      <c r="AI15" s="28" t="s">
        <v>116</v>
      </c>
      <c r="AJ15" s="30" t="s">
        <v>118</v>
      </c>
      <c r="AK15" s="28" t="s">
        <v>116</v>
      </c>
      <c r="AL15" s="29" t="s">
        <v>117</v>
      </c>
      <c r="AM15" s="29" t="s">
        <v>117</v>
      </c>
      <c r="AN15" s="29" t="s">
        <v>117</v>
      </c>
      <c r="AO15" s="29" t="s">
        <v>117</v>
      </c>
    </row>
    <row r="16" spans="1:41" ht="13.8" thickBot="1" x14ac:dyDescent="0.3">
      <c r="A16" s="21" t="s">
        <v>90</v>
      </c>
      <c r="B16" s="29" t="s">
        <v>117</v>
      </c>
      <c r="C16" s="29" t="s">
        <v>117</v>
      </c>
      <c r="D16" s="29" t="s">
        <v>117</v>
      </c>
      <c r="E16" s="29" t="s">
        <v>117</v>
      </c>
      <c r="F16" s="29" t="s">
        <v>117</v>
      </c>
      <c r="G16" s="29" t="s">
        <v>117</v>
      </c>
      <c r="H16" s="29" t="s">
        <v>117</v>
      </c>
      <c r="I16" s="29" t="s">
        <v>117</v>
      </c>
      <c r="J16" s="28" t="s">
        <v>116</v>
      </c>
      <c r="K16" s="28" t="s">
        <v>116</v>
      </c>
      <c r="L16" s="28" t="s">
        <v>116</v>
      </c>
      <c r="M16" s="28" t="s">
        <v>116</v>
      </c>
      <c r="N16" s="28" t="s">
        <v>116</v>
      </c>
      <c r="O16" s="28" t="s">
        <v>116</v>
      </c>
      <c r="P16" s="28" t="s">
        <v>116</v>
      </c>
      <c r="Q16" s="28" t="s">
        <v>116</v>
      </c>
      <c r="R16" s="28" t="s">
        <v>116</v>
      </c>
      <c r="S16" s="28" t="s">
        <v>116</v>
      </c>
      <c r="T16" s="29" t="s">
        <v>117</v>
      </c>
      <c r="U16" s="29" t="s">
        <v>117</v>
      </c>
      <c r="V16" s="29" t="s">
        <v>117</v>
      </c>
      <c r="W16" s="29" t="s">
        <v>117</v>
      </c>
      <c r="X16" s="29" t="s">
        <v>117</v>
      </c>
      <c r="Y16" s="29" t="s">
        <v>117</v>
      </c>
      <c r="Z16" s="29" t="s">
        <v>117</v>
      </c>
      <c r="AA16" s="29" t="s">
        <v>117</v>
      </c>
      <c r="AB16" s="29" t="s">
        <v>117</v>
      </c>
      <c r="AC16" s="29" t="s">
        <v>117</v>
      </c>
      <c r="AD16" s="29" t="s">
        <v>117</v>
      </c>
      <c r="AE16" s="29" t="s">
        <v>117</v>
      </c>
      <c r="AF16" s="29" t="s">
        <v>117</v>
      </c>
      <c r="AG16" s="29" t="s">
        <v>117</v>
      </c>
      <c r="AH16" s="29" t="s">
        <v>117</v>
      </c>
      <c r="AI16" s="29" t="s">
        <v>117</v>
      </c>
      <c r="AJ16" s="29" t="s">
        <v>117</v>
      </c>
      <c r="AK16" s="29" t="s">
        <v>117</v>
      </c>
      <c r="AL16" s="29" t="s">
        <v>117</v>
      </c>
      <c r="AM16" s="29" t="s">
        <v>117</v>
      </c>
      <c r="AN16" s="29" t="s">
        <v>117</v>
      </c>
      <c r="AO16" s="29" t="s">
        <v>117</v>
      </c>
    </row>
    <row r="17" spans="1:41" ht="13.8" thickBot="1" x14ac:dyDescent="0.3">
      <c r="A17" s="21" t="s">
        <v>91</v>
      </c>
      <c r="B17" s="29" t="s">
        <v>117</v>
      </c>
      <c r="C17" s="29" t="s">
        <v>117</v>
      </c>
      <c r="D17" s="29" t="s">
        <v>117</v>
      </c>
      <c r="E17" s="29" t="s">
        <v>117</v>
      </c>
      <c r="F17" s="29" t="s">
        <v>117</v>
      </c>
      <c r="G17" s="29" t="s">
        <v>117</v>
      </c>
      <c r="H17" s="29" t="s">
        <v>117</v>
      </c>
      <c r="I17" s="29" t="s">
        <v>117</v>
      </c>
      <c r="J17" s="29" t="s">
        <v>117</v>
      </c>
      <c r="K17" s="29" t="s">
        <v>117</v>
      </c>
      <c r="L17" s="28" t="s">
        <v>116</v>
      </c>
      <c r="M17" s="28" t="s">
        <v>116</v>
      </c>
      <c r="N17" s="28" t="s">
        <v>116</v>
      </c>
      <c r="O17" s="29" t="s">
        <v>117</v>
      </c>
      <c r="P17" s="29" t="s">
        <v>117</v>
      </c>
      <c r="Q17" s="29" t="s">
        <v>117</v>
      </c>
      <c r="R17" s="29" t="s">
        <v>117</v>
      </c>
      <c r="S17" s="29" t="s">
        <v>117</v>
      </c>
      <c r="T17" s="29" t="s">
        <v>117</v>
      </c>
      <c r="U17" s="29" t="s">
        <v>117</v>
      </c>
      <c r="V17" s="29" t="s">
        <v>117</v>
      </c>
      <c r="W17" s="29" t="s">
        <v>117</v>
      </c>
      <c r="X17" s="29" t="s">
        <v>117</v>
      </c>
      <c r="Y17" s="29" t="s">
        <v>117</v>
      </c>
      <c r="Z17" s="29" t="s">
        <v>117</v>
      </c>
      <c r="AA17" s="29" t="s">
        <v>117</v>
      </c>
      <c r="AB17" s="29" t="s">
        <v>117</v>
      </c>
      <c r="AC17" s="29" t="s">
        <v>117</v>
      </c>
      <c r="AD17" s="29" t="s">
        <v>117</v>
      </c>
      <c r="AE17" s="29" t="s">
        <v>117</v>
      </c>
      <c r="AF17" s="29" t="s">
        <v>117</v>
      </c>
      <c r="AG17" s="29" t="s">
        <v>117</v>
      </c>
      <c r="AH17" s="29" t="s">
        <v>117</v>
      </c>
      <c r="AI17" s="29" t="s">
        <v>117</v>
      </c>
      <c r="AJ17" s="29" t="s">
        <v>117</v>
      </c>
      <c r="AK17" s="29" t="s">
        <v>117</v>
      </c>
      <c r="AL17" s="29" t="s">
        <v>117</v>
      </c>
      <c r="AM17" s="29" t="s">
        <v>117</v>
      </c>
      <c r="AN17" s="29" t="s">
        <v>117</v>
      </c>
      <c r="AO17" s="29" t="s">
        <v>117</v>
      </c>
    </row>
    <row r="18" spans="1:41" ht="13.8" thickBot="1" x14ac:dyDescent="0.3">
      <c r="A18" s="21" t="s">
        <v>93</v>
      </c>
      <c r="B18" s="29" t="s">
        <v>117</v>
      </c>
      <c r="C18" s="29" t="s">
        <v>117</v>
      </c>
      <c r="D18" s="29" t="s">
        <v>117</v>
      </c>
      <c r="E18" s="29" t="s">
        <v>117</v>
      </c>
      <c r="F18" s="29" t="s">
        <v>117</v>
      </c>
      <c r="G18" s="29" t="s">
        <v>117</v>
      </c>
      <c r="H18" s="29" t="s">
        <v>117</v>
      </c>
      <c r="I18" s="29" t="s">
        <v>117</v>
      </c>
      <c r="J18" s="29" t="s">
        <v>117</v>
      </c>
      <c r="K18" s="29" t="s">
        <v>117</v>
      </c>
      <c r="L18" s="29" t="s">
        <v>117</v>
      </c>
      <c r="M18" s="29" t="s">
        <v>117</v>
      </c>
      <c r="N18" s="29" t="s">
        <v>117</v>
      </c>
      <c r="O18" s="29" t="s">
        <v>117</v>
      </c>
      <c r="P18" s="29" t="s">
        <v>117</v>
      </c>
      <c r="Q18" s="29" t="s">
        <v>117</v>
      </c>
      <c r="R18" s="29" t="s">
        <v>117</v>
      </c>
      <c r="S18" s="29" t="s">
        <v>117</v>
      </c>
      <c r="T18" s="29" t="s">
        <v>117</v>
      </c>
      <c r="U18" s="29" t="s">
        <v>117</v>
      </c>
      <c r="V18" s="29" t="s">
        <v>117</v>
      </c>
      <c r="W18" s="29" t="s">
        <v>117</v>
      </c>
      <c r="X18" s="29" t="s">
        <v>117</v>
      </c>
      <c r="Y18" s="29" t="s">
        <v>117</v>
      </c>
      <c r="Z18" s="28" t="s">
        <v>116</v>
      </c>
      <c r="AA18" s="29" t="s">
        <v>117</v>
      </c>
      <c r="AB18" s="29" t="s">
        <v>117</v>
      </c>
      <c r="AC18" s="29" t="s">
        <v>117</v>
      </c>
      <c r="AD18" s="29" t="s">
        <v>117</v>
      </c>
      <c r="AE18" s="29" t="s">
        <v>117</v>
      </c>
      <c r="AF18" s="29" t="s">
        <v>117</v>
      </c>
      <c r="AG18" s="29" t="s">
        <v>117</v>
      </c>
      <c r="AH18" s="28" t="s">
        <v>116</v>
      </c>
      <c r="AI18" s="29" t="s">
        <v>117</v>
      </c>
      <c r="AJ18" s="29" t="s">
        <v>117</v>
      </c>
      <c r="AK18" s="29" t="s">
        <v>117</v>
      </c>
      <c r="AL18" s="29" t="s">
        <v>117</v>
      </c>
      <c r="AM18" s="29" t="s">
        <v>117</v>
      </c>
      <c r="AN18" s="29" t="s">
        <v>117</v>
      </c>
      <c r="AO18" s="29" t="s">
        <v>117</v>
      </c>
    </row>
    <row r="19" spans="1:41" ht="13.8" thickBot="1" x14ac:dyDescent="0.3">
      <c r="A19" s="21" t="s">
        <v>94</v>
      </c>
      <c r="B19" s="29" t="s">
        <v>117</v>
      </c>
      <c r="C19" s="29" t="s">
        <v>117</v>
      </c>
      <c r="D19" s="29" t="s">
        <v>117</v>
      </c>
      <c r="E19" s="29" t="s">
        <v>117</v>
      </c>
      <c r="F19" s="29" t="s">
        <v>117</v>
      </c>
      <c r="G19" s="29" t="s">
        <v>117</v>
      </c>
      <c r="H19" s="29" t="s">
        <v>117</v>
      </c>
      <c r="I19" s="29" t="s">
        <v>117</v>
      </c>
      <c r="J19" s="29" t="s">
        <v>117</v>
      </c>
      <c r="K19" s="29" t="s">
        <v>117</v>
      </c>
      <c r="L19" s="29" t="s">
        <v>117</v>
      </c>
      <c r="M19" s="29" t="s">
        <v>117</v>
      </c>
      <c r="N19" s="29" t="s">
        <v>117</v>
      </c>
      <c r="O19" s="29" t="s">
        <v>117</v>
      </c>
      <c r="P19" s="29" t="s">
        <v>117</v>
      </c>
      <c r="Q19" s="29" t="s">
        <v>117</v>
      </c>
      <c r="R19" s="29" t="s">
        <v>117</v>
      </c>
      <c r="S19" s="29" t="s">
        <v>117</v>
      </c>
      <c r="T19" s="29" t="s">
        <v>117</v>
      </c>
      <c r="U19" s="29" t="s">
        <v>117</v>
      </c>
      <c r="V19" s="29" t="s">
        <v>117</v>
      </c>
      <c r="W19" s="29" t="s">
        <v>117</v>
      </c>
      <c r="X19" s="29" t="s">
        <v>117</v>
      </c>
      <c r="Y19" s="29" t="s">
        <v>117</v>
      </c>
      <c r="Z19" s="29" t="s">
        <v>117</v>
      </c>
      <c r="AA19" s="29" t="s">
        <v>117</v>
      </c>
      <c r="AB19" s="29" t="s">
        <v>117</v>
      </c>
      <c r="AC19" s="29" t="s">
        <v>117</v>
      </c>
      <c r="AD19" s="29" t="s">
        <v>117</v>
      </c>
      <c r="AE19" s="29" t="s">
        <v>117</v>
      </c>
      <c r="AF19" s="29" t="s">
        <v>117</v>
      </c>
      <c r="AG19" s="29" t="s">
        <v>117</v>
      </c>
      <c r="AH19" s="28" t="s">
        <v>116</v>
      </c>
      <c r="AI19" s="28" t="s">
        <v>116</v>
      </c>
      <c r="AJ19" s="28" t="s">
        <v>116</v>
      </c>
      <c r="AK19" s="28" t="s">
        <v>116</v>
      </c>
      <c r="AL19" s="29" t="s">
        <v>117</v>
      </c>
      <c r="AM19" s="28" t="s">
        <v>116</v>
      </c>
      <c r="AN19" s="29" t="s">
        <v>117</v>
      </c>
      <c r="AO19" s="29" t="s">
        <v>117</v>
      </c>
    </row>
    <row r="20" spans="1:41" ht="13.8" thickBot="1" x14ac:dyDescent="0.3">
      <c r="A20" s="21" t="s">
        <v>95</v>
      </c>
      <c r="B20" s="29" t="s">
        <v>117</v>
      </c>
      <c r="C20" s="29" t="s">
        <v>117</v>
      </c>
      <c r="D20" s="29" t="s">
        <v>117</v>
      </c>
      <c r="E20" s="29" t="s">
        <v>117</v>
      </c>
      <c r="F20" s="29" t="s">
        <v>117</v>
      </c>
      <c r="G20" s="28" t="s">
        <v>116</v>
      </c>
      <c r="H20" s="28" t="s">
        <v>116</v>
      </c>
      <c r="I20" s="28" t="s">
        <v>116</v>
      </c>
      <c r="J20" s="29" t="s">
        <v>117</v>
      </c>
      <c r="K20" s="29" t="s">
        <v>117</v>
      </c>
      <c r="L20" s="29" t="s">
        <v>117</v>
      </c>
      <c r="M20" s="29" t="s">
        <v>117</v>
      </c>
      <c r="N20" s="29" t="s">
        <v>117</v>
      </c>
      <c r="O20" s="29" t="s">
        <v>117</v>
      </c>
      <c r="P20" s="29" t="s">
        <v>117</v>
      </c>
      <c r="Q20" s="29" t="s">
        <v>117</v>
      </c>
      <c r="R20" s="29" t="s">
        <v>117</v>
      </c>
      <c r="S20" s="29" t="s">
        <v>117</v>
      </c>
      <c r="T20" s="29" t="s">
        <v>117</v>
      </c>
      <c r="U20" s="29" t="s">
        <v>117</v>
      </c>
      <c r="V20" s="29" t="s">
        <v>117</v>
      </c>
      <c r="W20" s="29" t="s">
        <v>117</v>
      </c>
      <c r="X20" s="29" t="s">
        <v>117</v>
      </c>
      <c r="Y20" s="29" t="s">
        <v>117</v>
      </c>
      <c r="Z20" s="29" t="s">
        <v>117</v>
      </c>
      <c r="AA20" s="29" t="s">
        <v>117</v>
      </c>
      <c r="AB20" s="29" t="s">
        <v>117</v>
      </c>
      <c r="AC20" s="29" t="s">
        <v>117</v>
      </c>
      <c r="AD20" s="29" t="s">
        <v>117</v>
      </c>
      <c r="AE20" s="29" t="s">
        <v>117</v>
      </c>
      <c r="AF20" s="29" t="s">
        <v>117</v>
      </c>
      <c r="AG20" s="29" t="s">
        <v>117</v>
      </c>
      <c r="AH20" s="29" t="s">
        <v>117</v>
      </c>
      <c r="AI20" s="29" t="s">
        <v>117</v>
      </c>
      <c r="AJ20" s="29" t="s">
        <v>117</v>
      </c>
      <c r="AK20" s="29" t="s">
        <v>117</v>
      </c>
      <c r="AL20" s="29" t="s">
        <v>117</v>
      </c>
      <c r="AM20" s="29" t="s">
        <v>117</v>
      </c>
      <c r="AN20" s="28" t="s">
        <v>116</v>
      </c>
      <c r="AO20" s="28" t="s">
        <v>116</v>
      </c>
    </row>
    <row r="21" spans="1:41" ht="13.8" thickBot="1" x14ac:dyDescent="0.3">
      <c r="A21" s="21" t="s">
        <v>96</v>
      </c>
      <c r="B21" s="29" t="s">
        <v>117</v>
      </c>
      <c r="C21" s="29" t="s">
        <v>117</v>
      </c>
      <c r="D21" s="29" t="s">
        <v>117</v>
      </c>
      <c r="E21" s="29" t="s">
        <v>117</v>
      </c>
      <c r="F21" s="29" t="s">
        <v>117</v>
      </c>
      <c r="G21" s="29" t="s">
        <v>117</v>
      </c>
      <c r="H21" s="29" t="s">
        <v>117</v>
      </c>
      <c r="I21" s="29" t="s">
        <v>117</v>
      </c>
      <c r="J21" s="29" t="s">
        <v>117</v>
      </c>
      <c r="K21" s="29" t="s">
        <v>117</v>
      </c>
      <c r="L21" s="29" t="s">
        <v>117</v>
      </c>
      <c r="M21" s="29" t="s">
        <v>117</v>
      </c>
      <c r="N21" s="29" t="s">
        <v>117</v>
      </c>
      <c r="O21" s="29" t="s">
        <v>117</v>
      </c>
      <c r="P21" s="29" t="s">
        <v>117</v>
      </c>
      <c r="Q21" s="29" t="s">
        <v>117</v>
      </c>
      <c r="R21" s="29" t="s">
        <v>117</v>
      </c>
      <c r="S21" s="28" t="s">
        <v>116</v>
      </c>
      <c r="T21" s="28" t="s">
        <v>116</v>
      </c>
      <c r="U21" s="29" t="s">
        <v>117</v>
      </c>
      <c r="V21" s="29" t="s">
        <v>117</v>
      </c>
      <c r="W21" s="29" t="s">
        <v>117</v>
      </c>
      <c r="X21" s="29" t="s">
        <v>117</v>
      </c>
      <c r="Y21" s="29" t="s">
        <v>117</v>
      </c>
      <c r="Z21" s="29" t="s">
        <v>117</v>
      </c>
      <c r="AA21" s="29" t="s">
        <v>117</v>
      </c>
      <c r="AB21" s="29" t="s">
        <v>117</v>
      </c>
      <c r="AC21" s="29" t="s">
        <v>117</v>
      </c>
      <c r="AD21" s="29" t="s">
        <v>117</v>
      </c>
      <c r="AE21" s="29" t="s">
        <v>117</v>
      </c>
      <c r="AF21" s="29" t="s">
        <v>117</v>
      </c>
      <c r="AG21" s="29" t="s">
        <v>117</v>
      </c>
      <c r="AH21" s="29" t="s">
        <v>117</v>
      </c>
      <c r="AI21" s="29" t="s">
        <v>117</v>
      </c>
      <c r="AJ21" s="29" t="s">
        <v>117</v>
      </c>
      <c r="AK21" s="29" t="s">
        <v>117</v>
      </c>
      <c r="AL21" s="29" t="s">
        <v>117</v>
      </c>
      <c r="AM21" s="29" t="s">
        <v>117</v>
      </c>
      <c r="AN21" s="29" t="s">
        <v>117</v>
      </c>
      <c r="AO21" s="29" t="s">
        <v>117</v>
      </c>
    </row>
    <row r="22" spans="1:41" ht="13.8" thickBot="1" x14ac:dyDescent="0.3">
      <c r="A22" s="21" t="s">
        <v>98</v>
      </c>
      <c r="B22" s="29" t="s">
        <v>117</v>
      </c>
      <c r="C22" s="29" t="s">
        <v>117</v>
      </c>
      <c r="D22" s="29" t="s">
        <v>117</v>
      </c>
      <c r="E22" s="29" t="s">
        <v>117</v>
      </c>
      <c r="F22" s="29" t="s">
        <v>117</v>
      </c>
      <c r="G22" s="29" t="s">
        <v>117</v>
      </c>
      <c r="H22" s="29" t="s">
        <v>117</v>
      </c>
      <c r="I22" s="29" t="s">
        <v>117</v>
      </c>
      <c r="J22" s="29" t="s">
        <v>117</v>
      </c>
      <c r="K22" s="29" t="s">
        <v>117</v>
      </c>
      <c r="L22" s="29" t="s">
        <v>117</v>
      </c>
      <c r="M22" s="29" t="s">
        <v>117</v>
      </c>
      <c r="N22" s="29" t="s">
        <v>117</v>
      </c>
      <c r="O22" s="29" t="s">
        <v>117</v>
      </c>
      <c r="P22" s="29" t="s">
        <v>117</v>
      </c>
      <c r="Q22" s="29" t="s">
        <v>117</v>
      </c>
      <c r="R22" s="29" t="s">
        <v>117</v>
      </c>
      <c r="S22" s="29" t="s">
        <v>117</v>
      </c>
      <c r="T22" s="29" t="s">
        <v>117</v>
      </c>
      <c r="U22" s="28" t="s">
        <v>116</v>
      </c>
      <c r="V22" s="28" t="s">
        <v>116</v>
      </c>
      <c r="W22" s="28" t="s">
        <v>116</v>
      </c>
      <c r="X22" s="28" t="s">
        <v>116</v>
      </c>
      <c r="Y22" s="28" t="s">
        <v>116</v>
      </c>
      <c r="Z22" s="28" t="s">
        <v>116</v>
      </c>
      <c r="AA22" s="29" t="s">
        <v>117</v>
      </c>
      <c r="AB22" s="29" t="s">
        <v>117</v>
      </c>
      <c r="AC22" s="29" t="s">
        <v>117</v>
      </c>
      <c r="AD22" s="29" t="s">
        <v>117</v>
      </c>
      <c r="AE22" s="29" t="s">
        <v>117</v>
      </c>
      <c r="AF22" s="29" t="s">
        <v>117</v>
      </c>
      <c r="AG22" s="29" t="s">
        <v>117</v>
      </c>
      <c r="AH22" s="29" t="s">
        <v>117</v>
      </c>
      <c r="AI22" s="29" t="s">
        <v>117</v>
      </c>
      <c r="AJ22" s="29" t="s">
        <v>117</v>
      </c>
      <c r="AK22" s="29" t="s">
        <v>117</v>
      </c>
      <c r="AL22" s="29" t="s">
        <v>117</v>
      </c>
      <c r="AM22" s="29" t="s">
        <v>117</v>
      </c>
      <c r="AN22" s="29" t="s">
        <v>117</v>
      </c>
      <c r="AO22" s="29" t="s">
        <v>117</v>
      </c>
    </row>
    <row r="23" spans="1:41" ht="13.8" thickBot="1" x14ac:dyDescent="0.3">
      <c r="A23" s="21" t="s">
        <v>99</v>
      </c>
      <c r="B23" s="29" t="s">
        <v>117</v>
      </c>
      <c r="C23" s="29" t="s">
        <v>117</v>
      </c>
      <c r="D23" s="29" t="s">
        <v>117</v>
      </c>
      <c r="E23" s="29" t="s">
        <v>117</v>
      </c>
      <c r="F23" s="29" t="s">
        <v>117</v>
      </c>
      <c r="G23" s="29" t="s">
        <v>117</v>
      </c>
      <c r="H23" s="29" t="s">
        <v>117</v>
      </c>
      <c r="I23" s="29" t="s">
        <v>117</v>
      </c>
      <c r="J23" s="29" t="s">
        <v>117</v>
      </c>
      <c r="K23" s="29" t="s">
        <v>117</v>
      </c>
      <c r="L23" s="29" t="s">
        <v>117</v>
      </c>
      <c r="M23" s="29" t="s">
        <v>117</v>
      </c>
      <c r="N23" s="29" t="s">
        <v>117</v>
      </c>
      <c r="O23" s="29" t="s">
        <v>117</v>
      </c>
      <c r="P23" s="29" t="s">
        <v>117</v>
      </c>
      <c r="Q23" s="29" t="s">
        <v>117</v>
      </c>
      <c r="R23" s="29" t="s">
        <v>117</v>
      </c>
      <c r="S23" s="28" t="s">
        <v>116</v>
      </c>
      <c r="T23" s="28" t="s">
        <v>116</v>
      </c>
      <c r="U23" s="29" t="s">
        <v>117</v>
      </c>
      <c r="V23" s="29" t="s">
        <v>117</v>
      </c>
      <c r="W23" s="29" t="s">
        <v>117</v>
      </c>
      <c r="X23" s="29" t="s">
        <v>117</v>
      </c>
      <c r="Y23" s="29" t="s">
        <v>117</v>
      </c>
      <c r="Z23" s="29" t="s">
        <v>117</v>
      </c>
      <c r="AA23" s="29" t="s">
        <v>117</v>
      </c>
      <c r="AB23" s="29" t="s">
        <v>117</v>
      </c>
      <c r="AC23" s="29" t="s">
        <v>117</v>
      </c>
      <c r="AD23" s="29" t="s">
        <v>117</v>
      </c>
      <c r="AE23" s="29" t="s">
        <v>117</v>
      </c>
      <c r="AF23" s="29" t="s">
        <v>117</v>
      </c>
      <c r="AG23" s="29" t="s">
        <v>117</v>
      </c>
      <c r="AH23" s="29" t="s">
        <v>117</v>
      </c>
      <c r="AI23" s="29" t="s">
        <v>117</v>
      </c>
      <c r="AJ23" s="29" t="s">
        <v>117</v>
      </c>
      <c r="AK23" s="29" t="s">
        <v>117</v>
      </c>
      <c r="AL23" s="29" t="s">
        <v>117</v>
      </c>
      <c r="AM23" s="29" t="s">
        <v>117</v>
      </c>
      <c r="AN23" s="29" t="s">
        <v>117</v>
      </c>
      <c r="AO23" s="29" t="s">
        <v>117</v>
      </c>
    </row>
    <row r="24" spans="1:41" ht="13.8" thickBot="1" x14ac:dyDescent="0.3">
      <c r="A24" s="21" t="s">
        <v>100</v>
      </c>
      <c r="B24" s="29" t="s">
        <v>117</v>
      </c>
      <c r="C24" s="29" t="s">
        <v>117</v>
      </c>
      <c r="D24" s="29" t="s">
        <v>117</v>
      </c>
      <c r="E24" s="29" t="s">
        <v>117</v>
      </c>
      <c r="F24" s="29" t="s">
        <v>117</v>
      </c>
      <c r="G24" s="29" t="s">
        <v>117</v>
      </c>
      <c r="H24" s="29" t="s">
        <v>117</v>
      </c>
      <c r="I24" s="29" t="s">
        <v>117</v>
      </c>
      <c r="J24" s="29" t="s">
        <v>117</v>
      </c>
      <c r="K24" s="29" t="s">
        <v>117</v>
      </c>
      <c r="L24" s="29" t="s">
        <v>117</v>
      </c>
      <c r="M24" s="29" t="s">
        <v>117</v>
      </c>
      <c r="N24" s="29" t="s">
        <v>117</v>
      </c>
      <c r="O24" s="29" t="s">
        <v>117</v>
      </c>
      <c r="P24" s="29" t="s">
        <v>117</v>
      </c>
      <c r="Q24" s="29" t="s">
        <v>117</v>
      </c>
      <c r="R24" s="29" t="s">
        <v>117</v>
      </c>
      <c r="S24" s="29" t="s">
        <v>117</v>
      </c>
      <c r="T24" s="29" t="s">
        <v>117</v>
      </c>
      <c r="U24" s="29" t="s">
        <v>117</v>
      </c>
      <c r="V24" s="29" t="s">
        <v>117</v>
      </c>
      <c r="W24" s="29" t="s">
        <v>117</v>
      </c>
      <c r="X24" s="29" t="s">
        <v>117</v>
      </c>
      <c r="Y24" s="29" t="s">
        <v>117</v>
      </c>
      <c r="Z24" s="31" t="s">
        <v>119</v>
      </c>
      <c r="AA24" s="29" t="s">
        <v>117</v>
      </c>
      <c r="AB24" s="29" t="s">
        <v>117</v>
      </c>
      <c r="AC24" s="29" t="s">
        <v>117</v>
      </c>
      <c r="AD24" s="29" t="s">
        <v>117</v>
      </c>
      <c r="AE24" s="29" t="s">
        <v>117</v>
      </c>
      <c r="AF24" s="29" t="s">
        <v>117</v>
      </c>
      <c r="AG24" s="29" t="s">
        <v>117</v>
      </c>
      <c r="AH24" s="30" t="s">
        <v>118</v>
      </c>
      <c r="AI24" s="28" t="s">
        <v>116</v>
      </c>
      <c r="AJ24" s="30" t="s">
        <v>118</v>
      </c>
      <c r="AK24" s="28" t="s">
        <v>116</v>
      </c>
      <c r="AL24" s="29" t="s">
        <v>117</v>
      </c>
      <c r="AM24" s="28" t="s">
        <v>116</v>
      </c>
      <c r="AN24" s="29" t="s">
        <v>117</v>
      </c>
      <c r="AO24" s="29" t="s">
        <v>117</v>
      </c>
    </row>
    <row r="25" spans="1:41" ht="13.8" thickBot="1" x14ac:dyDescent="0.3">
      <c r="A25" s="21" t="s">
        <v>101</v>
      </c>
      <c r="B25" s="29" t="s">
        <v>117</v>
      </c>
      <c r="C25" s="29" t="s">
        <v>117</v>
      </c>
      <c r="D25" s="29" t="s">
        <v>117</v>
      </c>
      <c r="E25" s="29" t="s">
        <v>117</v>
      </c>
      <c r="F25" s="29" t="s">
        <v>117</v>
      </c>
      <c r="G25" s="29" t="s">
        <v>117</v>
      </c>
      <c r="H25" s="29" t="s">
        <v>117</v>
      </c>
      <c r="I25" s="30" t="s">
        <v>118</v>
      </c>
      <c r="J25" s="32" t="s">
        <v>120</v>
      </c>
      <c r="K25" s="28" t="s">
        <v>116</v>
      </c>
      <c r="L25" s="30" t="s">
        <v>118</v>
      </c>
      <c r="M25" s="30" t="s">
        <v>118</v>
      </c>
      <c r="N25" s="30" t="s">
        <v>118</v>
      </c>
      <c r="O25" s="28" t="s">
        <v>116</v>
      </c>
      <c r="P25" s="28" t="s">
        <v>116</v>
      </c>
      <c r="Q25" s="28" t="s">
        <v>116</v>
      </c>
      <c r="R25" s="28" t="s">
        <v>116</v>
      </c>
      <c r="S25" s="28" t="s">
        <v>116</v>
      </c>
      <c r="T25" s="29" t="s">
        <v>117</v>
      </c>
      <c r="U25" s="29" t="s">
        <v>117</v>
      </c>
      <c r="V25" s="29" t="s">
        <v>117</v>
      </c>
      <c r="W25" s="29" t="s">
        <v>117</v>
      </c>
      <c r="X25" s="29" t="s">
        <v>117</v>
      </c>
      <c r="Y25" s="29" t="s">
        <v>117</v>
      </c>
      <c r="Z25" s="29" t="s">
        <v>117</v>
      </c>
      <c r="AA25" s="29" t="s">
        <v>117</v>
      </c>
      <c r="AB25" s="29" t="s">
        <v>117</v>
      </c>
      <c r="AC25" s="29" t="s">
        <v>117</v>
      </c>
      <c r="AD25" s="29" t="s">
        <v>117</v>
      </c>
      <c r="AE25" s="29" t="s">
        <v>117</v>
      </c>
      <c r="AF25" s="29" t="s">
        <v>117</v>
      </c>
      <c r="AG25" s="29" t="s">
        <v>117</v>
      </c>
      <c r="AH25" s="29" t="s">
        <v>117</v>
      </c>
      <c r="AI25" s="29" t="s">
        <v>117</v>
      </c>
      <c r="AJ25" s="29" t="s">
        <v>117</v>
      </c>
      <c r="AK25" s="29" t="s">
        <v>117</v>
      </c>
      <c r="AL25" s="29" t="s">
        <v>117</v>
      </c>
      <c r="AM25" s="29" t="s">
        <v>117</v>
      </c>
      <c r="AN25" s="29" t="s">
        <v>117</v>
      </c>
      <c r="AO25" s="29" t="s">
        <v>117</v>
      </c>
    </row>
    <row r="26" spans="1:41" ht="13.8" thickBot="1" x14ac:dyDescent="0.3">
      <c r="A26" s="21" t="s">
        <v>102</v>
      </c>
      <c r="B26" s="29" t="s">
        <v>117</v>
      </c>
      <c r="C26" s="29" t="s">
        <v>117</v>
      </c>
      <c r="D26" s="29" t="s">
        <v>117</v>
      </c>
      <c r="E26" s="29" t="s">
        <v>117</v>
      </c>
      <c r="F26" s="29" t="s">
        <v>117</v>
      </c>
      <c r="G26" s="29" t="s">
        <v>117</v>
      </c>
      <c r="H26" s="29" t="s">
        <v>117</v>
      </c>
      <c r="I26" s="29" t="s">
        <v>117</v>
      </c>
      <c r="J26" s="29" t="s">
        <v>117</v>
      </c>
      <c r="K26" s="29" t="s">
        <v>117</v>
      </c>
      <c r="L26" s="29" t="s">
        <v>117</v>
      </c>
      <c r="M26" s="29" t="s">
        <v>117</v>
      </c>
      <c r="N26" s="29" t="s">
        <v>117</v>
      </c>
      <c r="O26" s="29" t="s">
        <v>117</v>
      </c>
      <c r="P26" s="29" t="s">
        <v>117</v>
      </c>
      <c r="Q26" s="29" t="s">
        <v>117</v>
      </c>
      <c r="R26" s="29" t="s">
        <v>117</v>
      </c>
      <c r="S26" s="29" t="s">
        <v>117</v>
      </c>
      <c r="T26" s="29" t="s">
        <v>117</v>
      </c>
      <c r="U26" s="29" t="s">
        <v>117</v>
      </c>
      <c r="V26" s="29" t="s">
        <v>117</v>
      </c>
      <c r="W26" s="29" t="s">
        <v>117</v>
      </c>
      <c r="X26" s="29" t="s">
        <v>117</v>
      </c>
      <c r="Y26" s="29" t="s">
        <v>117</v>
      </c>
      <c r="Z26" s="28" t="s">
        <v>116</v>
      </c>
      <c r="AA26" s="29" t="s">
        <v>117</v>
      </c>
      <c r="AB26" s="28" t="s">
        <v>116</v>
      </c>
      <c r="AC26" s="28" t="s">
        <v>116</v>
      </c>
      <c r="AD26" s="28" t="s">
        <v>116</v>
      </c>
      <c r="AE26" s="29" t="s">
        <v>117</v>
      </c>
      <c r="AF26" s="29" t="s">
        <v>117</v>
      </c>
      <c r="AG26" s="29" t="s">
        <v>117</v>
      </c>
      <c r="AH26" s="31" t="s">
        <v>119</v>
      </c>
      <c r="AI26" s="28" t="s">
        <v>116</v>
      </c>
      <c r="AJ26" s="30" t="s">
        <v>118</v>
      </c>
      <c r="AK26" s="28" t="s">
        <v>116</v>
      </c>
      <c r="AL26" s="29" t="s">
        <v>117</v>
      </c>
      <c r="AM26" s="28" t="s">
        <v>116</v>
      </c>
      <c r="AN26" s="29" t="s">
        <v>117</v>
      </c>
      <c r="AO26" s="29" t="s">
        <v>117</v>
      </c>
    </row>
    <row r="27" spans="1:41" ht="13.8" thickBot="1" x14ac:dyDescent="0.3">
      <c r="A27" s="21" t="s">
        <v>103</v>
      </c>
      <c r="B27" s="29" t="s">
        <v>117</v>
      </c>
      <c r="C27" s="29" t="s">
        <v>117</v>
      </c>
      <c r="D27" s="29" t="s">
        <v>117</v>
      </c>
      <c r="E27" s="29" t="s">
        <v>117</v>
      </c>
      <c r="F27" s="29" t="s">
        <v>117</v>
      </c>
      <c r="G27" s="29" t="s">
        <v>117</v>
      </c>
      <c r="H27" s="28" t="s">
        <v>116</v>
      </c>
      <c r="I27" s="29" t="s">
        <v>117</v>
      </c>
      <c r="J27" s="29" t="s">
        <v>117</v>
      </c>
      <c r="K27" s="28" t="s">
        <v>116</v>
      </c>
      <c r="L27" s="28" t="s">
        <v>116</v>
      </c>
      <c r="M27" s="28" t="s">
        <v>116</v>
      </c>
      <c r="N27" s="28" t="s">
        <v>116</v>
      </c>
      <c r="O27" s="28" t="s">
        <v>116</v>
      </c>
      <c r="P27" s="28" t="s">
        <v>116</v>
      </c>
      <c r="Q27" s="28" t="s">
        <v>116</v>
      </c>
      <c r="R27" s="28" t="s">
        <v>116</v>
      </c>
      <c r="S27" s="28" t="s">
        <v>116</v>
      </c>
      <c r="T27" s="29" t="s">
        <v>117</v>
      </c>
      <c r="U27" s="29" t="s">
        <v>117</v>
      </c>
      <c r="V27" s="29" t="s">
        <v>117</v>
      </c>
      <c r="W27" s="29" t="s">
        <v>117</v>
      </c>
      <c r="X27" s="29" t="s">
        <v>117</v>
      </c>
      <c r="Y27" s="29" t="s">
        <v>117</v>
      </c>
      <c r="Z27" s="29" t="s">
        <v>117</v>
      </c>
      <c r="AA27" s="29" t="s">
        <v>117</v>
      </c>
      <c r="AB27" s="29" t="s">
        <v>117</v>
      </c>
      <c r="AC27" s="29" t="s">
        <v>117</v>
      </c>
      <c r="AD27" s="29" t="s">
        <v>117</v>
      </c>
      <c r="AE27" s="29" t="s">
        <v>117</v>
      </c>
      <c r="AF27" s="29" t="s">
        <v>117</v>
      </c>
      <c r="AG27" s="29" t="s">
        <v>117</v>
      </c>
      <c r="AH27" s="29" t="s">
        <v>117</v>
      </c>
      <c r="AI27" s="29" t="s">
        <v>117</v>
      </c>
      <c r="AJ27" s="29" t="s">
        <v>117</v>
      </c>
      <c r="AK27" s="29" t="s">
        <v>117</v>
      </c>
      <c r="AL27" s="29" t="s">
        <v>117</v>
      </c>
      <c r="AM27" s="29" t="s">
        <v>117</v>
      </c>
      <c r="AN27" s="29" t="s">
        <v>117</v>
      </c>
      <c r="AO27" s="29" t="s">
        <v>117</v>
      </c>
    </row>
    <row r="28" spans="1:41" ht="13.8" thickBot="1" x14ac:dyDescent="0.3">
      <c r="A28" s="21" t="s">
        <v>105</v>
      </c>
      <c r="B28" s="29" t="s">
        <v>117</v>
      </c>
      <c r="C28" s="29" t="s">
        <v>117</v>
      </c>
      <c r="D28" s="29" t="s">
        <v>117</v>
      </c>
      <c r="E28" s="29" t="s">
        <v>117</v>
      </c>
      <c r="F28" s="29" t="s">
        <v>117</v>
      </c>
      <c r="G28" s="29" t="s">
        <v>117</v>
      </c>
      <c r="H28" s="28" t="s">
        <v>116</v>
      </c>
      <c r="I28" s="29" t="s">
        <v>117</v>
      </c>
      <c r="J28" s="29" t="s">
        <v>117</v>
      </c>
      <c r="K28" s="28" t="s">
        <v>116</v>
      </c>
      <c r="L28" s="28" t="s">
        <v>116</v>
      </c>
      <c r="M28" s="28" t="s">
        <v>116</v>
      </c>
      <c r="N28" s="28" t="s">
        <v>116</v>
      </c>
      <c r="O28" s="28" t="s">
        <v>116</v>
      </c>
      <c r="P28" s="28" t="s">
        <v>116</v>
      </c>
      <c r="Q28" s="28" t="s">
        <v>116</v>
      </c>
      <c r="R28" s="28" t="s">
        <v>116</v>
      </c>
      <c r="S28" s="28" t="s">
        <v>116</v>
      </c>
      <c r="T28" s="29" t="s">
        <v>117</v>
      </c>
      <c r="U28" s="29" t="s">
        <v>117</v>
      </c>
      <c r="V28" s="29" t="s">
        <v>117</v>
      </c>
      <c r="W28" s="29" t="s">
        <v>117</v>
      </c>
      <c r="X28" s="29" t="s">
        <v>117</v>
      </c>
      <c r="Y28" s="29" t="s">
        <v>117</v>
      </c>
      <c r="Z28" s="29" t="s">
        <v>117</v>
      </c>
      <c r="AA28" s="29" t="s">
        <v>117</v>
      </c>
      <c r="AB28" s="29" t="s">
        <v>117</v>
      </c>
      <c r="AC28" s="29" t="s">
        <v>117</v>
      </c>
      <c r="AD28" s="29" t="s">
        <v>117</v>
      </c>
      <c r="AE28" s="29" t="s">
        <v>117</v>
      </c>
      <c r="AF28" s="29" t="s">
        <v>117</v>
      </c>
      <c r="AG28" s="29" t="s">
        <v>117</v>
      </c>
      <c r="AH28" s="29" t="s">
        <v>117</v>
      </c>
      <c r="AI28" s="29" t="s">
        <v>117</v>
      </c>
      <c r="AJ28" s="29" t="s">
        <v>117</v>
      </c>
      <c r="AK28" s="29" t="s">
        <v>117</v>
      </c>
      <c r="AL28" s="29" t="s">
        <v>117</v>
      </c>
      <c r="AM28" s="29" t="s">
        <v>117</v>
      </c>
      <c r="AN28" s="29" t="s">
        <v>117</v>
      </c>
      <c r="AO28" s="29" t="s">
        <v>117</v>
      </c>
    </row>
    <row r="29" spans="1:41" ht="13.8" thickBot="1" x14ac:dyDescent="0.3">
      <c r="A29" s="21" t="s">
        <v>106</v>
      </c>
      <c r="B29" s="29" t="s">
        <v>117</v>
      </c>
      <c r="C29" s="29" t="s">
        <v>117</v>
      </c>
      <c r="D29" s="29" t="s">
        <v>117</v>
      </c>
      <c r="E29" s="29" t="s">
        <v>117</v>
      </c>
      <c r="F29" s="29" t="s">
        <v>117</v>
      </c>
      <c r="G29" s="29" t="s">
        <v>117</v>
      </c>
      <c r="H29" s="29" t="s">
        <v>117</v>
      </c>
      <c r="I29" s="29" t="s">
        <v>117</v>
      </c>
      <c r="J29" s="29" t="s">
        <v>117</v>
      </c>
      <c r="K29" s="29" t="s">
        <v>117</v>
      </c>
      <c r="L29" s="29" t="s">
        <v>117</v>
      </c>
      <c r="M29" s="29" t="s">
        <v>117</v>
      </c>
      <c r="N29" s="29" t="s">
        <v>117</v>
      </c>
      <c r="O29" s="29" t="s">
        <v>117</v>
      </c>
      <c r="P29" s="29" t="s">
        <v>117</v>
      </c>
      <c r="Q29" s="29" t="s">
        <v>117</v>
      </c>
      <c r="R29" s="29" t="s">
        <v>117</v>
      </c>
      <c r="S29" s="29" t="s">
        <v>117</v>
      </c>
      <c r="T29" s="29" t="s">
        <v>117</v>
      </c>
      <c r="U29" s="29" t="s">
        <v>117</v>
      </c>
      <c r="V29" s="29" t="s">
        <v>117</v>
      </c>
      <c r="W29" s="29" t="s">
        <v>117</v>
      </c>
      <c r="X29" s="29" t="s">
        <v>117</v>
      </c>
      <c r="Y29" s="29" t="s">
        <v>117</v>
      </c>
      <c r="Z29" s="29" t="s">
        <v>117</v>
      </c>
      <c r="AA29" s="28" t="s">
        <v>116</v>
      </c>
      <c r="AB29" s="29" t="s">
        <v>117</v>
      </c>
      <c r="AC29" s="29" t="s">
        <v>117</v>
      </c>
      <c r="AD29" s="29" t="s">
        <v>117</v>
      </c>
      <c r="AE29" s="29" t="s">
        <v>117</v>
      </c>
      <c r="AF29" s="29" t="s">
        <v>117</v>
      </c>
      <c r="AG29" s="29" t="s">
        <v>117</v>
      </c>
      <c r="AH29" s="29" t="s">
        <v>117</v>
      </c>
      <c r="AI29" s="28" t="s">
        <v>116</v>
      </c>
      <c r="AJ29" s="28" t="s">
        <v>116</v>
      </c>
      <c r="AK29" s="28" t="s">
        <v>116</v>
      </c>
      <c r="AL29" s="29" t="s">
        <v>117</v>
      </c>
      <c r="AM29" s="29" t="s">
        <v>117</v>
      </c>
      <c r="AN29" s="29" t="s">
        <v>117</v>
      </c>
      <c r="AO29" s="29" t="s">
        <v>117</v>
      </c>
    </row>
    <row r="30" spans="1:41" ht="13.8" thickBot="1" x14ac:dyDescent="0.3">
      <c r="A30" s="21" t="s">
        <v>107</v>
      </c>
      <c r="B30" s="29" t="s">
        <v>117</v>
      </c>
      <c r="C30" s="29" t="s">
        <v>117</v>
      </c>
      <c r="D30" s="29" t="s">
        <v>117</v>
      </c>
      <c r="E30" s="29" t="s">
        <v>117</v>
      </c>
      <c r="F30" s="29" t="s">
        <v>117</v>
      </c>
      <c r="G30" s="29" t="s">
        <v>117</v>
      </c>
      <c r="H30" s="28" t="s">
        <v>116</v>
      </c>
      <c r="I30" s="29" t="s">
        <v>117</v>
      </c>
      <c r="J30" s="29" t="s">
        <v>117</v>
      </c>
      <c r="K30" s="28" t="s">
        <v>116</v>
      </c>
      <c r="L30" s="28" t="s">
        <v>116</v>
      </c>
      <c r="M30" s="28" t="s">
        <v>116</v>
      </c>
      <c r="N30" s="28" t="s">
        <v>116</v>
      </c>
      <c r="O30" s="28" t="s">
        <v>116</v>
      </c>
      <c r="P30" s="28" t="s">
        <v>116</v>
      </c>
      <c r="Q30" s="28" t="s">
        <v>116</v>
      </c>
      <c r="R30" s="28" t="s">
        <v>116</v>
      </c>
      <c r="S30" s="28" t="s">
        <v>116</v>
      </c>
      <c r="T30" s="29" t="s">
        <v>117</v>
      </c>
      <c r="U30" s="29" t="s">
        <v>117</v>
      </c>
      <c r="V30" s="29" t="s">
        <v>117</v>
      </c>
      <c r="W30" s="29" t="s">
        <v>117</v>
      </c>
      <c r="X30" s="29" t="s">
        <v>117</v>
      </c>
      <c r="Y30" s="29" t="s">
        <v>117</v>
      </c>
      <c r="Z30" s="29" t="s">
        <v>117</v>
      </c>
      <c r="AA30" s="29" t="s">
        <v>117</v>
      </c>
      <c r="AB30" s="29" t="s">
        <v>117</v>
      </c>
      <c r="AC30" s="29" t="s">
        <v>117</v>
      </c>
      <c r="AD30" s="29" t="s">
        <v>117</v>
      </c>
      <c r="AE30" s="29" t="s">
        <v>117</v>
      </c>
      <c r="AF30" s="29" t="s">
        <v>117</v>
      </c>
      <c r="AG30" s="29" t="s">
        <v>117</v>
      </c>
      <c r="AH30" s="29" t="s">
        <v>117</v>
      </c>
      <c r="AI30" s="29" t="s">
        <v>117</v>
      </c>
      <c r="AJ30" s="29" t="s">
        <v>117</v>
      </c>
      <c r="AK30" s="29" t="s">
        <v>117</v>
      </c>
      <c r="AL30" s="29" t="s">
        <v>117</v>
      </c>
      <c r="AM30" s="29" t="s">
        <v>117</v>
      </c>
      <c r="AN30" s="29" t="s">
        <v>117</v>
      </c>
      <c r="AO30" s="29" t="s">
        <v>117</v>
      </c>
    </row>
    <row r="31" spans="1:41" ht="13.8" thickBot="1" x14ac:dyDescent="0.3">
      <c r="A31" s="21" t="s">
        <v>108</v>
      </c>
      <c r="B31" s="29" t="s">
        <v>117</v>
      </c>
      <c r="C31" s="29" t="s">
        <v>117</v>
      </c>
      <c r="D31" s="29" t="s">
        <v>117</v>
      </c>
      <c r="E31" s="29" t="s">
        <v>117</v>
      </c>
      <c r="F31" s="29" t="s">
        <v>117</v>
      </c>
      <c r="G31" s="29" t="s">
        <v>117</v>
      </c>
      <c r="H31" s="29" t="s">
        <v>117</v>
      </c>
      <c r="I31" s="29" t="s">
        <v>117</v>
      </c>
      <c r="J31" s="29" t="s">
        <v>117</v>
      </c>
      <c r="K31" s="29" t="s">
        <v>117</v>
      </c>
      <c r="L31" s="28" t="s">
        <v>116</v>
      </c>
      <c r="M31" s="28" t="s">
        <v>116</v>
      </c>
      <c r="N31" s="29" t="s">
        <v>117</v>
      </c>
      <c r="O31" s="29" t="s">
        <v>117</v>
      </c>
      <c r="P31" s="29" t="s">
        <v>117</v>
      </c>
      <c r="Q31" s="29" t="s">
        <v>117</v>
      </c>
      <c r="R31" s="29" t="s">
        <v>117</v>
      </c>
      <c r="S31" s="29" t="s">
        <v>117</v>
      </c>
      <c r="T31" s="29" t="s">
        <v>117</v>
      </c>
      <c r="U31" s="29" t="s">
        <v>117</v>
      </c>
      <c r="V31" s="29" t="s">
        <v>117</v>
      </c>
      <c r="W31" s="29" t="s">
        <v>117</v>
      </c>
      <c r="X31" s="29" t="s">
        <v>117</v>
      </c>
      <c r="Y31" s="29" t="s">
        <v>117</v>
      </c>
      <c r="Z31" s="29" t="s">
        <v>117</v>
      </c>
      <c r="AA31" s="29" t="s">
        <v>117</v>
      </c>
      <c r="AB31" s="29" t="s">
        <v>117</v>
      </c>
      <c r="AC31" s="29" t="s">
        <v>117</v>
      </c>
      <c r="AD31" s="29" t="s">
        <v>117</v>
      </c>
      <c r="AE31" s="29" t="s">
        <v>117</v>
      </c>
      <c r="AF31" s="29" t="s">
        <v>117</v>
      </c>
      <c r="AG31" s="29" t="s">
        <v>117</v>
      </c>
      <c r="AH31" s="29" t="s">
        <v>117</v>
      </c>
      <c r="AI31" s="29" t="s">
        <v>117</v>
      </c>
      <c r="AJ31" s="29" t="s">
        <v>117</v>
      </c>
      <c r="AK31" s="29" t="s">
        <v>117</v>
      </c>
      <c r="AL31" s="29" t="s">
        <v>117</v>
      </c>
      <c r="AM31" s="29" t="s">
        <v>117</v>
      </c>
      <c r="AN31" s="29" t="s">
        <v>117</v>
      </c>
      <c r="AO31" s="29" t="s">
        <v>117</v>
      </c>
    </row>
    <row r="32" spans="1:41" ht="13.8" thickBot="1" x14ac:dyDescent="0.3">
      <c r="A32" s="21" t="s">
        <v>109</v>
      </c>
      <c r="B32" s="29" t="s">
        <v>117</v>
      </c>
      <c r="C32" s="29" t="s">
        <v>117</v>
      </c>
      <c r="D32" s="29" t="s">
        <v>117</v>
      </c>
      <c r="E32" s="29" t="s">
        <v>117</v>
      </c>
      <c r="F32" s="29" t="s">
        <v>117</v>
      </c>
      <c r="G32" s="29" t="s">
        <v>117</v>
      </c>
      <c r="H32" s="29" t="s">
        <v>117</v>
      </c>
      <c r="I32" s="29" t="s">
        <v>117</v>
      </c>
      <c r="J32" s="29" t="s">
        <v>117</v>
      </c>
      <c r="K32" s="29" t="s">
        <v>117</v>
      </c>
      <c r="L32" s="29" t="s">
        <v>117</v>
      </c>
      <c r="M32" s="29" t="s">
        <v>117</v>
      </c>
      <c r="N32" s="29" t="s">
        <v>117</v>
      </c>
      <c r="O32" s="29" t="s">
        <v>117</v>
      </c>
      <c r="P32" s="29" t="s">
        <v>117</v>
      </c>
      <c r="Q32" s="29" t="s">
        <v>117</v>
      </c>
      <c r="R32" s="29" t="s">
        <v>117</v>
      </c>
      <c r="S32" s="28" t="s">
        <v>116</v>
      </c>
      <c r="T32" s="28" t="s">
        <v>116</v>
      </c>
      <c r="U32" s="29" t="s">
        <v>117</v>
      </c>
      <c r="V32" s="29" t="s">
        <v>117</v>
      </c>
      <c r="W32" s="29" t="s">
        <v>117</v>
      </c>
      <c r="X32" s="29" t="s">
        <v>117</v>
      </c>
      <c r="Y32" s="29" t="s">
        <v>117</v>
      </c>
      <c r="Z32" s="29" t="s">
        <v>117</v>
      </c>
      <c r="AA32" s="29" t="s">
        <v>117</v>
      </c>
      <c r="AB32" s="29" t="s">
        <v>117</v>
      </c>
      <c r="AC32" s="29" t="s">
        <v>117</v>
      </c>
      <c r="AD32" s="29" t="s">
        <v>117</v>
      </c>
      <c r="AE32" s="29" t="s">
        <v>117</v>
      </c>
      <c r="AF32" s="29" t="s">
        <v>117</v>
      </c>
      <c r="AG32" s="29" t="s">
        <v>117</v>
      </c>
      <c r="AH32" s="29" t="s">
        <v>117</v>
      </c>
      <c r="AI32" s="29" t="s">
        <v>117</v>
      </c>
      <c r="AJ32" s="29" t="s">
        <v>117</v>
      </c>
      <c r="AK32" s="29" t="s">
        <v>117</v>
      </c>
      <c r="AL32" s="29" t="s">
        <v>117</v>
      </c>
      <c r="AM32" s="29" t="s">
        <v>117</v>
      </c>
      <c r="AN32" s="29" t="s">
        <v>117</v>
      </c>
      <c r="AO32" s="29" t="s">
        <v>117</v>
      </c>
    </row>
    <row r="33" spans="1:41" ht="13.8" thickBot="1" x14ac:dyDescent="0.3">
      <c r="A33" s="21" t="s">
        <v>112</v>
      </c>
      <c r="B33" s="29" t="s">
        <v>117</v>
      </c>
      <c r="C33" s="29" t="s">
        <v>117</v>
      </c>
      <c r="D33" s="29" t="s">
        <v>117</v>
      </c>
      <c r="E33" s="29" t="s">
        <v>117</v>
      </c>
      <c r="F33" s="29" t="s">
        <v>117</v>
      </c>
      <c r="G33" s="28" t="s">
        <v>116</v>
      </c>
      <c r="H33" s="28" t="s">
        <v>116</v>
      </c>
      <c r="I33" s="28" t="s">
        <v>116</v>
      </c>
      <c r="J33" s="29" t="s">
        <v>117</v>
      </c>
      <c r="K33" s="29" t="s">
        <v>117</v>
      </c>
      <c r="L33" s="29" t="s">
        <v>117</v>
      </c>
      <c r="M33" s="29" t="s">
        <v>117</v>
      </c>
      <c r="N33" s="29" t="s">
        <v>117</v>
      </c>
      <c r="O33" s="29" t="s">
        <v>117</v>
      </c>
      <c r="P33" s="29" t="s">
        <v>117</v>
      </c>
      <c r="Q33" s="29" t="s">
        <v>117</v>
      </c>
      <c r="R33" s="29" t="s">
        <v>117</v>
      </c>
      <c r="S33" s="29" t="s">
        <v>117</v>
      </c>
      <c r="T33" s="29" t="s">
        <v>117</v>
      </c>
      <c r="U33" s="29" t="s">
        <v>117</v>
      </c>
      <c r="V33" s="29" t="s">
        <v>117</v>
      </c>
      <c r="W33" s="29" t="s">
        <v>117</v>
      </c>
      <c r="X33" s="29" t="s">
        <v>117</v>
      </c>
      <c r="Y33" s="29" t="s">
        <v>117</v>
      </c>
      <c r="Z33" s="29" t="s">
        <v>117</v>
      </c>
      <c r="AA33" s="29" t="s">
        <v>117</v>
      </c>
      <c r="AB33" s="29" t="s">
        <v>117</v>
      </c>
      <c r="AC33" s="29" t="s">
        <v>117</v>
      </c>
      <c r="AD33" s="29" t="s">
        <v>117</v>
      </c>
      <c r="AE33" s="29" t="s">
        <v>117</v>
      </c>
      <c r="AF33" s="29" t="s">
        <v>117</v>
      </c>
      <c r="AG33" s="29" t="s">
        <v>117</v>
      </c>
      <c r="AH33" s="29" t="s">
        <v>117</v>
      </c>
      <c r="AI33" s="29" t="s">
        <v>117</v>
      </c>
      <c r="AJ33" s="29" t="s">
        <v>117</v>
      </c>
      <c r="AK33" s="29" t="s">
        <v>117</v>
      </c>
      <c r="AL33" s="29" t="s">
        <v>117</v>
      </c>
      <c r="AM33" s="29" t="s">
        <v>117</v>
      </c>
      <c r="AN33" s="28" t="s">
        <v>116</v>
      </c>
      <c r="AO33" s="28" t="s">
        <v>116</v>
      </c>
    </row>
    <row r="34" spans="1:41" ht="13.8" thickBot="1" x14ac:dyDescent="0.3">
      <c r="A34" s="21" t="s">
        <v>113</v>
      </c>
      <c r="B34" s="29" t="s">
        <v>117</v>
      </c>
      <c r="C34" s="29" t="s">
        <v>117</v>
      </c>
      <c r="D34" s="29" t="s">
        <v>117</v>
      </c>
      <c r="E34" s="29" t="s">
        <v>117</v>
      </c>
      <c r="F34" s="29" t="s">
        <v>117</v>
      </c>
      <c r="G34" s="29" t="s">
        <v>117</v>
      </c>
      <c r="H34" s="29" t="s">
        <v>117</v>
      </c>
      <c r="I34" s="29" t="s">
        <v>117</v>
      </c>
      <c r="J34" s="29" t="s">
        <v>117</v>
      </c>
      <c r="K34" s="28" t="s">
        <v>116</v>
      </c>
      <c r="L34" s="28" t="s">
        <v>116</v>
      </c>
      <c r="M34" s="28" t="s">
        <v>116</v>
      </c>
      <c r="N34" s="28" t="s">
        <v>116</v>
      </c>
      <c r="O34" s="29" t="s">
        <v>117</v>
      </c>
      <c r="P34" s="28" t="s">
        <v>116</v>
      </c>
      <c r="Q34" s="28" t="s">
        <v>116</v>
      </c>
      <c r="R34" s="28" t="s">
        <v>116</v>
      </c>
      <c r="S34" s="28" t="s">
        <v>116</v>
      </c>
      <c r="T34" s="29" t="s">
        <v>117</v>
      </c>
      <c r="U34" s="29" t="s">
        <v>117</v>
      </c>
      <c r="V34" s="29" t="s">
        <v>117</v>
      </c>
      <c r="W34" s="29" t="s">
        <v>117</v>
      </c>
      <c r="X34" s="29" t="s">
        <v>117</v>
      </c>
      <c r="Y34" s="29" t="s">
        <v>117</v>
      </c>
      <c r="Z34" s="29" t="s">
        <v>117</v>
      </c>
      <c r="AA34" s="29" t="s">
        <v>117</v>
      </c>
      <c r="AB34" s="29" t="s">
        <v>117</v>
      </c>
      <c r="AC34" s="29" t="s">
        <v>117</v>
      </c>
      <c r="AD34" s="29" t="s">
        <v>117</v>
      </c>
      <c r="AE34" s="29" t="s">
        <v>117</v>
      </c>
      <c r="AF34" s="29" t="s">
        <v>117</v>
      </c>
      <c r="AG34" s="29" t="s">
        <v>117</v>
      </c>
      <c r="AH34" s="29" t="s">
        <v>117</v>
      </c>
      <c r="AI34" s="29" t="s">
        <v>117</v>
      </c>
      <c r="AJ34" s="29" t="s">
        <v>117</v>
      </c>
      <c r="AK34" s="29" t="s">
        <v>117</v>
      </c>
      <c r="AL34" s="28" t="s">
        <v>116</v>
      </c>
      <c r="AM34" s="29" t="s">
        <v>117</v>
      </c>
      <c r="AN34" s="29" t="s">
        <v>117</v>
      </c>
      <c r="AO34" s="29" t="s">
        <v>117</v>
      </c>
    </row>
    <row r="35" spans="1:41" ht="13.8" thickBot="1" x14ac:dyDescent="0.3">
      <c r="A35" s="21" t="s">
        <v>114</v>
      </c>
      <c r="B35" s="29" t="s">
        <v>117</v>
      </c>
      <c r="C35" s="29" t="s">
        <v>117</v>
      </c>
      <c r="D35" s="29" t="s">
        <v>117</v>
      </c>
      <c r="E35" s="29" t="s">
        <v>117</v>
      </c>
      <c r="F35" s="29" t="s">
        <v>117</v>
      </c>
      <c r="G35" s="29" t="s">
        <v>117</v>
      </c>
      <c r="H35" s="29" t="s">
        <v>117</v>
      </c>
      <c r="I35" s="29" t="s">
        <v>117</v>
      </c>
      <c r="J35" s="29" t="s">
        <v>117</v>
      </c>
      <c r="K35" s="29" t="s">
        <v>117</v>
      </c>
      <c r="L35" s="29" t="s">
        <v>117</v>
      </c>
      <c r="M35" s="29" t="s">
        <v>117</v>
      </c>
      <c r="N35" s="29" t="s">
        <v>117</v>
      </c>
      <c r="O35" s="29" t="s">
        <v>117</v>
      </c>
      <c r="P35" s="29" t="s">
        <v>117</v>
      </c>
      <c r="Q35" s="29" t="s">
        <v>117</v>
      </c>
      <c r="R35" s="29" t="s">
        <v>117</v>
      </c>
      <c r="S35" s="29" t="s">
        <v>117</v>
      </c>
      <c r="T35" s="29" t="s">
        <v>117</v>
      </c>
      <c r="U35" s="28" t="s">
        <v>116</v>
      </c>
      <c r="V35" s="28" t="s">
        <v>116</v>
      </c>
      <c r="W35" s="28" t="s">
        <v>116</v>
      </c>
      <c r="X35" s="28" t="s">
        <v>116</v>
      </c>
      <c r="Y35" s="28" t="s">
        <v>116</v>
      </c>
      <c r="Z35" s="28" t="s">
        <v>116</v>
      </c>
      <c r="AA35" s="29" t="s">
        <v>117</v>
      </c>
      <c r="AB35" s="29" t="s">
        <v>117</v>
      </c>
      <c r="AC35" s="29" t="s">
        <v>117</v>
      </c>
      <c r="AD35" s="29" t="s">
        <v>117</v>
      </c>
      <c r="AE35" s="29" t="s">
        <v>117</v>
      </c>
      <c r="AF35" s="29" t="s">
        <v>117</v>
      </c>
      <c r="AG35" s="29" t="s">
        <v>117</v>
      </c>
      <c r="AH35" s="29" t="s">
        <v>117</v>
      </c>
      <c r="AI35" s="29" t="s">
        <v>117</v>
      </c>
      <c r="AJ35" s="29" t="s">
        <v>117</v>
      </c>
      <c r="AK35" s="29" t="s">
        <v>117</v>
      </c>
      <c r="AL35" s="29" t="s">
        <v>117</v>
      </c>
      <c r="AM35" s="29" t="s">
        <v>117</v>
      </c>
      <c r="AN35" s="29" t="s">
        <v>117</v>
      </c>
      <c r="AO35" s="29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N43"/>
  <sheetViews>
    <sheetView zoomScale="39" workbookViewId="0"/>
  </sheetViews>
  <sheetFormatPr defaultColWidth="12.6640625" defaultRowHeight="15.75" customHeight="1" x14ac:dyDescent="0.25"/>
  <sheetData>
    <row r="1" spans="1:40" x14ac:dyDescent="0.25">
      <c r="A1" s="15" t="s">
        <v>121</v>
      </c>
      <c r="B1" s="22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  <c r="L1" s="23" t="s">
        <v>86</v>
      </c>
      <c r="M1" s="23" t="s">
        <v>87</v>
      </c>
      <c r="N1" s="23" t="s">
        <v>88</v>
      </c>
      <c r="O1" s="23" t="s">
        <v>89</v>
      </c>
      <c r="P1" s="23" t="s">
        <v>90</v>
      </c>
      <c r="Q1" s="23" t="s">
        <v>91</v>
      </c>
      <c r="R1" s="23" t="s">
        <v>92</v>
      </c>
      <c r="S1" s="23" t="s">
        <v>93</v>
      </c>
      <c r="T1" s="23" t="s">
        <v>94</v>
      </c>
      <c r="U1" s="23" t="s">
        <v>95</v>
      </c>
      <c r="V1" s="23" t="s">
        <v>96</v>
      </c>
      <c r="W1" s="23" t="s">
        <v>97</v>
      </c>
      <c r="X1" s="23" t="s">
        <v>98</v>
      </c>
      <c r="Y1" s="23" t="s">
        <v>99</v>
      </c>
      <c r="Z1" s="23" t="s">
        <v>100</v>
      </c>
      <c r="AA1" s="23" t="s">
        <v>101</v>
      </c>
      <c r="AB1" s="23" t="s">
        <v>102</v>
      </c>
      <c r="AC1" s="23" t="s">
        <v>103</v>
      </c>
      <c r="AD1" s="23" t="s">
        <v>104</v>
      </c>
      <c r="AE1" s="23" t="s">
        <v>105</v>
      </c>
      <c r="AF1" s="23" t="s">
        <v>106</v>
      </c>
      <c r="AG1" s="23" t="s">
        <v>107</v>
      </c>
      <c r="AH1" s="23" t="s">
        <v>108</v>
      </c>
      <c r="AI1" s="23" t="s">
        <v>109</v>
      </c>
      <c r="AJ1" s="23" t="s">
        <v>110</v>
      </c>
      <c r="AK1" s="23" t="s">
        <v>111</v>
      </c>
      <c r="AL1" s="23" t="s">
        <v>112</v>
      </c>
      <c r="AM1" s="23" t="s">
        <v>113</v>
      </c>
      <c r="AN1" s="23" t="s">
        <v>114</v>
      </c>
    </row>
    <row r="2" spans="1:40" x14ac:dyDescent="0.25">
      <c r="A2" s="14" t="s">
        <v>76</v>
      </c>
      <c r="B2" s="24" t="s">
        <v>122</v>
      </c>
      <c r="C2" s="24">
        <f>3/91</f>
        <v>3.2967032967032968E-2</v>
      </c>
      <c r="D2" s="24"/>
      <c r="E2" s="24"/>
      <c r="F2" s="24"/>
      <c r="G2" s="24"/>
      <c r="H2" s="24"/>
      <c r="I2" s="24"/>
      <c r="J2" s="24">
        <f>2/91</f>
        <v>2.197802197802198E-2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>
        <f>3/91</f>
        <v>3.2967032967032968E-2</v>
      </c>
      <c r="V2" s="24"/>
      <c r="W2" s="24"/>
      <c r="X2" s="24"/>
      <c r="Y2" s="24">
        <f t="shared" ref="Y2:Y3" si="0">1/91</f>
        <v>1.098901098901099E-2</v>
      </c>
      <c r="Z2" s="24"/>
      <c r="AA2" s="24"/>
      <c r="AB2" s="24"/>
      <c r="AC2" s="24">
        <f>1/91</f>
        <v>1.098901098901099E-2</v>
      </c>
      <c r="AD2" s="24"/>
      <c r="AE2" s="24">
        <f>1/91</f>
        <v>1.098901098901099E-2</v>
      </c>
      <c r="AF2" s="24"/>
      <c r="AG2" s="24">
        <f>1/91</f>
        <v>1.098901098901099E-2</v>
      </c>
      <c r="AH2" s="24"/>
      <c r="AI2" s="24"/>
      <c r="AJ2" s="24"/>
      <c r="AK2" s="24"/>
      <c r="AL2" s="24">
        <f>1/91</f>
        <v>1.098901098901099E-2</v>
      </c>
      <c r="AM2" s="24"/>
      <c r="AN2" s="24"/>
    </row>
    <row r="3" spans="1:40" x14ac:dyDescent="0.25">
      <c r="A3" s="17" t="s">
        <v>77</v>
      </c>
      <c r="B3" s="24"/>
      <c r="C3" s="24" t="s">
        <v>122</v>
      </c>
      <c r="D3" s="24">
        <f>1/91</f>
        <v>1.098901098901099E-2</v>
      </c>
      <c r="E3" s="24"/>
      <c r="F3" s="24"/>
      <c r="G3" s="24"/>
      <c r="H3" s="24"/>
      <c r="I3" s="24"/>
      <c r="J3" s="24">
        <f>1/91</f>
        <v>1.098901098901099E-2</v>
      </c>
      <c r="K3" s="24"/>
      <c r="L3" s="24"/>
      <c r="M3" s="24"/>
      <c r="N3" s="24"/>
      <c r="O3" s="24"/>
      <c r="P3" s="24">
        <f>1/91</f>
        <v>1.098901098901099E-2</v>
      </c>
      <c r="Q3" s="24"/>
      <c r="R3" s="24"/>
      <c r="S3" s="24"/>
      <c r="T3" s="24"/>
      <c r="U3" s="24"/>
      <c r="V3" s="24">
        <f>1/91</f>
        <v>1.098901098901099E-2</v>
      </c>
      <c r="W3" s="24"/>
      <c r="X3" s="24"/>
      <c r="Y3" s="24">
        <f t="shared" si="0"/>
        <v>1.098901098901099E-2</v>
      </c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x14ac:dyDescent="0.25">
      <c r="A4" s="17" t="s">
        <v>78</v>
      </c>
      <c r="B4" s="24"/>
      <c r="C4" s="24"/>
      <c r="D4" s="24" t="s">
        <v>122</v>
      </c>
      <c r="E4" s="24">
        <f>1/91</f>
        <v>1.098901098901099E-2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>
        <f>1/91</f>
        <v>1.098901098901099E-2</v>
      </c>
      <c r="AI4" s="24"/>
      <c r="AJ4" s="24"/>
      <c r="AK4" s="24"/>
      <c r="AL4" s="24"/>
      <c r="AM4" s="24"/>
      <c r="AN4" s="24"/>
    </row>
    <row r="5" spans="1:40" x14ac:dyDescent="0.25">
      <c r="A5" s="17" t="s">
        <v>79</v>
      </c>
      <c r="B5" s="24"/>
      <c r="C5" s="24"/>
      <c r="D5" s="24"/>
      <c r="E5" s="24" t="s">
        <v>122</v>
      </c>
      <c r="F5" s="24">
        <f>1/91</f>
        <v>1.098901098901099E-2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x14ac:dyDescent="0.25">
      <c r="A6" s="17" t="s">
        <v>80</v>
      </c>
      <c r="B6" s="24"/>
      <c r="C6" s="24"/>
      <c r="D6" s="24"/>
      <c r="E6" s="24"/>
      <c r="F6" s="24" t="s">
        <v>122</v>
      </c>
      <c r="G6" s="24">
        <f>1/91</f>
        <v>1.098901098901099E-2</v>
      </c>
      <c r="H6" s="24"/>
      <c r="I6" s="24"/>
      <c r="J6" s="24"/>
      <c r="K6" s="24"/>
      <c r="L6" s="24"/>
      <c r="M6" s="24"/>
      <c r="N6" s="24">
        <f>1/91</f>
        <v>1.098901098901099E-2</v>
      </c>
      <c r="O6" s="24"/>
      <c r="P6" s="24"/>
      <c r="Q6" s="24"/>
      <c r="R6" s="24"/>
      <c r="S6" s="24"/>
      <c r="T6" s="24"/>
      <c r="U6" s="24"/>
      <c r="V6" s="24"/>
      <c r="W6" s="24"/>
      <c r="X6" s="24">
        <f>1/91</f>
        <v>1.098901098901099E-2</v>
      </c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>
        <f>1/91</f>
        <v>1.098901098901099E-2</v>
      </c>
      <c r="AK6" s="24"/>
      <c r="AL6" s="24"/>
      <c r="AM6" s="24">
        <f t="shared" ref="AM6:AN6" si="1">1/91</f>
        <v>1.098901098901099E-2</v>
      </c>
      <c r="AN6" s="24">
        <f t="shared" si="1"/>
        <v>1.098901098901099E-2</v>
      </c>
    </row>
    <row r="7" spans="1:40" x14ac:dyDescent="0.25">
      <c r="A7" s="17" t="s">
        <v>81</v>
      </c>
      <c r="B7" s="24"/>
      <c r="C7" s="24"/>
      <c r="D7" s="24"/>
      <c r="E7" s="24"/>
      <c r="F7" s="24"/>
      <c r="G7" s="24" t="s">
        <v>122</v>
      </c>
      <c r="H7" s="24">
        <f>1/91</f>
        <v>1.098901098901099E-2</v>
      </c>
      <c r="I7" s="24"/>
      <c r="J7" s="24"/>
      <c r="K7" s="24">
        <f>2/91</f>
        <v>2.197802197802198E-2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>
        <f>1/91</f>
        <v>1.098901098901099E-2</v>
      </c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x14ac:dyDescent="0.25">
      <c r="A8" s="17" t="s">
        <v>82</v>
      </c>
      <c r="B8" s="24"/>
      <c r="C8" s="24"/>
      <c r="D8" s="24"/>
      <c r="E8" s="24"/>
      <c r="F8" s="24"/>
      <c r="G8" s="24"/>
      <c r="H8" s="24" t="s">
        <v>122</v>
      </c>
      <c r="I8" s="24">
        <f>1/91</f>
        <v>1.098901098901099E-2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x14ac:dyDescent="0.25">
      <c r="A9" s="17" t="s">
        <v>83</v>
      </c>
      <c r="B9" s="24"/>
      <c r="C9" s="24"/>
      <c r="D9" s="24"/>
      <c r="E9" s="24"/>
      <c r="F9" s="24"/>
      <c r="G9" s="24"/>
      <c r="H9" s="24">
        <f>1/91</f>
        <v>1.098901098901099E-2</v>
      </c>
      <c r="I9" s="24" t="s">
        <v>122</v>
      </c>
      <c r="J9" s="24"/>
      <c r="K9" s="24"/>
      <c r="L9" s="24"/>
      <c r="M9" s="24"/>
      <c r="N9" s="24"/>
      <c r="O9" s="24"/>
      <c r="P9" s="24"/>
      <c r="Q9" s="24">
        <f>1/91</f>
        <v>1.098901098901099E-2</v>
      </c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>
        <f>1/91</f>
        <v>1.098901098901099E-2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x14ac:dyDescent="0.25">
      <c r="A10" s="17" t="s">
        <v>84</v>
      </c>
      <c r="B10" s="24"/>
      <c r="C10" s="24"/>
      <c r="D10" s="24"/>
      <c r="E10" s="24"/>
      <c r="F10" s="24"/>
      <c r="G10" s="24">
        <f>1/91</f>
        <v>1.098901098901099E-2</v>
      </c>
      <c r="H10" s="24"/>
      <c r="I10" s="24"/>
      <c r="J10" s="24" t="s">
        <v>122</v>
      </c>
      <c r="K10" s="24"/>
      <c r="L10" s="24"/>
      <c r="M10" s="24"/>
      <c r="N10" s="24"/>
      <c r="O10" s="24"/>
      <c r="P10" s="24">
        <f t="shared" ref="P10:Q10" si="2">1/91</f>
        <v>1.098901098901099E-2</v>
      </c>
      <c r="Q10" s="24">
        <f t="shared" si="2"/>
        <v>1.098901098901099E-2</v>
      </c>
      <c r="R10" s="24"/>
      <c r="S10" s="24"/>
      <c r="T10" s="24"/>
      <c r="U10" s="24"/>
      <c r="V10" s="24"/>
      <c r="W10" s="24"/>
      <c r="X10" s="24"/>
      <c r="Y10" s="24">
        <f>1/91</f>
        <v>1.098901098901099E-2</v>
      </c>
      <c r="Z10" s="24"/>
      <c r="AA10" s="24">
        <f>1/91</f>
        <v>1.098901098901099E-2</v>
      </c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x14ac:dyDescent="0.25">
      <c r="A11" s="17" t="s">
        <v>85</v>
      </c>
      <c r="B11" s="24"/>
      <c r="C11" s="24"/>
      <c r="D11" s="24"/>
      <c r="E11" s="24"/>
      <c r="F11" s="24"/>
      <c r="G11" s="24"/>
      <c r="H11" s="24"/>
      <c r="I11" s="24"/>
      <c r="J11" s="24"/>
      <c r="K11" s="24" t="s">
        <v>122</v>
      </c>
      <c r="L11" s="24">
        <f>2/91</f>
        <v>2.197802197802198E-2</v>
      </c>
      <c r="M11" s="24"/>
      <c r="N11" s="24"/>
      <c r="O11" s="24">
        <f>1/91</f>
        <v>1.098901098901099E-2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>
        <f>1/91</f>
        <v>1.098901098901099E-2</v>
      </c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x14ac:dyDescent="0.25">
      <c r="A12" s="17" t="s">
        <v>86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 t="s">
        <v>122</v>
      </c>
      <c r="M12" s="24">
        <f>1/91</f>
        <v>1.098901098901099E-2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x14ac:dyDescent="0.25">
      <c r="A13" s="17" t="s">
        <v>87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 t="s">
        <v>122</v>
      </c>
      <c r="N13" s="24">
        <f>1/91</f>
        <v>1.098901098901099E-2</v>
      </c>
      <c r="O13" s="24"/>
      <c r="P13" s="24"/>
      <c r="Q13" s="24"/>
      <c r="R13" s="24">
        <f>1/91</f>
        <v>1.098901098901099E-2</v>
      </c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x14ac:dyDescent="0.25">
      <c r="A14" s="17" t="s">
        <v>88</v>
      </c>
      <c r="B14" s="24"/>
      <c r="C14" s="24"/>
      <c r="D14" s="24"/>
      <c r="E14" s="24"/>
      <c r="F14" s="24"/>
      <c r="G14" s="24"/>
      <c r="H14" s="24"/>
      <c r="I14" s="24"/>
      <c r="J14" s="24"/>
      <c r="K14" s="24">
        <f>2/91</f>
        <v>2.197802197802198E-2</v>
      </c>
      <c r="L14" s="24"/>
      <c r="M14" s="24"/>
      <c r="N14" s="24" t="s">
        <v>122</v>
      </c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>
        <f>1/91</f>
        <v>1.098901098901099E-2</v>
      </c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x14ac:dyDescent="0.25">
      <c r="A15" s="17" t="s">
        <v>89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 t="s">
        <v>122</v>
      </c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x14ac:dyDescent="0.25">
      <c r="A16" s="17" t="s">
        <v>90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 t="s">
        <v>122</v>
      </c>
      <c r="Q16" s="24">
        <f>2/91</f>
        <v>2.197802197802198E-2</v>
      </c>
      <c r="R16" s="24"/>
      <c r="S16" s="24"/>
      <c r="T16" s="24"/>
      <c r="U16" s="24"/>
      <c r="V16" s="24">
        <f>1/91</f>
        <v>1.098901098901099E-2</v>
      </c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x14ac:dyDescent="0.25">
      <c r="A17" s="17" t="s">
        <v>91</v>
      </c>
      <c r="B17" s="24"/>
      <c r="C17" s="24"/>
      <c r="D17" s="24"/>
      <c r="E17" s="24"/>
      <c r="F17" s="24">
        <f t="shared" ref="F17:G17" si="3">1/91</f>
        <v>1.098901098901099E-2</v>
      </c>
      <c r="G17" s="24">
        <f t="shared" si="3"/>
        <v>1.098901098901099E-2</v>
      </c>
      <c r="H17" s="24"/>
      <c r="I17" s="24">
        <f>1/91</f>
        <v>1.098901098901099E-2</v>
      </c>
      <c r="J17" s="24"/>
      <c r="K17" s="24"/>
      <c r="L17" s="24"/>
      <c r="M17" s="24">
        <f>1/91</f>
        <v>1.098901098901099E-2</v>
      </c>
      <c r="N17" s="24"/>
      <c r="O17" s="24"/>
      <c r="P17" s="24"/>
      <c r="Q17" s="24" t="s">
        <v>122</v>
      </c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x14ac:dyDescent="0.25">
      <c r="A18" s="17" t="s">
        <v>92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 t="s">
        <v>122</v>
      </c>
      <c r="S18" s="24">
        <f>1/91</f>
        <v>1.098901098901099E-2</v>
      </c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x14ac:dyDescent="0.25">
      <c r="A19" s="17" t="s">
        <v>93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>
        <f>1/91</f>
        <v>1.098901098901099E-2</v>
      </c>
      <c r="M19" s="24"/>
      <c r="N19" s="24"/>
      <c r="O19" s="24">
        <f>1/91</f>
        <v>1.098901098901099E-2</v>
      </c>
      <c r="P19" s="24"/>
      <c r="Q19" s="24"/>
      <c r="R19" s="24"/>
      <c r="S19" s="24" t="s">
        <v>122</v>
      </c>
      <c r="T19" s="24">
        <f>1/91</f>
        <v>1.098901098901099E-2</v>
      </c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x14ac:dyDescent="0.25">
      <c r="A20" s="17" t="s">
        <v>94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 t="s">
        <v>122</v>
      </c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x14ac:dyDescent="0.25">
      <c r="A21" s="17" t="s">
        <v>95</v>
      </c>
      <c r="B21" s="24"/>
      <c r="C21" s="24">
        <f>2/91</f>
        <v>2.197802197802198E-2</v>
      </c>
      <c r="D21" s="24"/>
      <c r="E21" s="24"/>
      <c r="F21" s="24"/>
      <c r="G21" s="24"/>
      <c r="H21" s="24"/>
      <c r="I21" s="24"/>
      <c r="J21" s="24">
        <f>1/91</f>
        <v>1.098901098901099E-2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 t="s">
        <v>122</v>
      </c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x14ac:dyDescent="0.25">
      <c r="A22" s="17" t="s">
        <v>96</v>
      </c>
      <c r="B22" s="24"/>
      <c r="C22" s="24"/>
      <c r="D22" s="24"/>
      <c r="E22" s="24"/>
      <c r="F22" s="24"/>
      <c r="G22" s="24">
        <f>1/91</f>
        <v>1.098901098901099E-2</v>
      </c>
      <c r="H22" s="24"/>
      <c r="I22" s="24"/>
      <c r="J22" s="24"/>
      <c r="K22" s="24"/>
      <c r="L22" s="24"/>
      <c r="M22" s="24"/>
      <c r="N22" s="24">
        <f>1/91</f>
        <v>1.098901098901099E-2</v>
      </c>
      <c r="O22" s="24"/>
      <c r="P22" s="24"/>
      <c r="Q22" s="24"/>
      <c r="R22" s="24"/>
      <c r="S22" s="24"/>
      <c r="T22" s="24"/>
      <c r="U22" s="24"/>
      <c r="V22" s="24" t="s">
        <v>122</v>
      </c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x14ac:dyDescent="0.25">
      <c r="A23" s="17" t="s">
        <v>97</v>
      </c>
      <c r="B23" s="24"/>
      <c r="C23" s="24"/>
      <c r="D23" s="24"/>
      <c r="E23" s="24"/>
      <c r="F23" s="24">
        <f>1/91</f>
        <v>1.098901098901099E-2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 t="s">
        <v>122</v>
      </c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x14ac:dyDescent="0.25">
      <c r="A24" s="17" t="s">
        <v>98</v>
      </c>
      <c r="B24" s="24"/>
      <c r="C24" s="24"/>
      <c r="D24" s="24"/>
      <c r="E24" s="24"/>
      <c r="F24" s="24"/>
      <c r="G24" s="24"/>
      <c r="H24" s="24">
        <f>1/91</f>
        <v>1.098901098901099E-2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 t="s">
        <v>122</v>
      </c>
      <c r="Y24" s="24"/>
      <c r="Z24" s="24">
        <f>3/91</f>
        <v>3.2967032967032968E-2</v>
      </c>
      <c r="AA24" s="24"/>
      <c r="AB24" s="24"/>
      <c r="AC24" s="24"/>
      <c r="AD24" s="24"/>
      <c r="AE24" s="24"/>
      <c r="AF24" s="24">
        <f>1/91</f>
        <v>1.098901098901099E-2</v>
      </c>
      <c r="AG24" s="24"/>
      <c r="AH24" s="24"/>
      <c r="AI24" s="24"/>
      <c r="AJ24" s="24"/>
      <c r="AK24" s="24"/>
      <c r="AL24" s="24"/>
      <c r="AM24" s="24"/>
      <c r="AN24" s="24"/>
    </row>
    <row r="25" spans="1:40" x14ac:dyDescent="0.25">
      <c r="A25" s="17" t="s">
        <v>99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>
        <f>1/91</f>
        <v>1.098901098901099E-2</v>
      </c>
      <c r="Q25" s="24"/>
      <c r="R25" s="24"/>
      <c r="S25" s="24"/>
      <c r="T25" s="24"/>
      <c r="U25" s="24"/>
      <c r="V25" s="24"/>
      <c r="W25" s="24"/>
      <c r="X25" s="24">
        <f>2/91</f>
        <v>2.197802197802198E-2</v>
      </c>
      <c r="Y25" s="24" t="s">
        <v>122</v>
      </c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>
        <f>1/91</f>
        <v>1.098901098901099E-2</v>
      </c>
      <c r="AL25" s="24"/>
      <c r="AM25" s="24"/>
      <c r="AN25" s="24"/>
    </row>
    <row r="26" spans="1:40" x14ac:dyDescent="0.25">
      <c r="A26" s="17" t="s">
        <v>100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>
        <f>1/91</f>
        <v>1.098901098901099E-2</v>
      </c>
      <c r="U26" s="24"/>
      <c r="V26" s="24"/>
      <c r="W26" s="24"/>
      <c r="X26" s="24"/>
      <c r="Y26" s="24"/>
      <c r="Z26" s="24" t="s">
        <v>122</v>
      </c>
      <c r="AA26" s="24"/>
      <c r="AB26" s="24">
        <f>2/91</f>
        <v>2.197802197802198E-2</v>
      </c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x14ac:dyDescent="0.25">
      <c r="A27" s="17" t="s">
        <v>101</v>
      </c>
      <c r="B27" s="24"/>
      <c r="C27" s="24"/>
      <c r="D27" s="24"/>
      <c r="E27" s="24"/>
      <c r="F27" s="24"/>
      <c r="G27" s="24"/>
      <c r="H27" s="24"/>
      <c r="I27" s="24">
        <f>1/91</f>
        <v>1.098901098901099E-2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 t="s">
        <v>122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x14ac:dyDescent="0.25">
      <c r="A28" s="17" t="s">
        <v>102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 t="s">
        <v>122</v>
      </c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x14ac:dyDescent="0.25">
      <c r="A29" s="17" t="s">
        <v>103</v>
      </c>
      <c r="B29" s="24"/>
      <c r="C29" s="24"/>
      <c r="D29" s="24"/>
      <c r="E29" s="24"/>
      <c r="F29" s="24">
        <f>1/91</f>
        <v>1.098901098901099E-2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 t="s">
        <v>122</v>
      </c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x14ac:dyDescent="0.25">
      <c r="A30" s="17" t="s">
        <v>104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>
        <f>1/91</f>
        <v>1.098901098901099E-2</v>
      </c>
      <c r="AA30" s="24"/>
      <c r="AB30" s="24"/>
      <c r="AC30" s="24"/>
      <c r="AD30" s="24" t="s">
        <v>122</v>
      </c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x14ac:dyDescent="0.25">
      <c r="A31" s="17" t="s">
        <v>105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>
        <f>1/91</f>
        <v>1.098901098901099E-2</v>
      </c>
      <c r="Z31" s="24"/>
      <c r="AA31" s="24"/>
      <c r="AB31" s="24"/>
      <c r="AC31" s="24"/>
      <c r="AD31" s="24"/>
      <c r="AE31" s="24" t="s">
        <v>122</v>
      </c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x14ac:dyDescent="0.25">
      <c r="A32" s="17" t="s">
        <v>106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 t="s">
        <v>122</v>
      </c>
      <c r="AG32" s="24"/>
      <c r="AH32" s="24"/>
      <c r="AI32" s="24"/>
      <c r="AJ32" s="24"/>
      <c r="AK32" s="24"/>
      <c r="AL32" s="24"/>
      <c r="AM32" s="24"/>
      <c r="AN32" s="24"/>
    </row>
    <row r="33" spans="1:40" x14ac:dyDescent="0.25">
      <c r="A33" s="17" t="s">
        <v>107</v>
      </c>
      <c r="B33" s="24"/>
      <c r="C33" s="24"/>
      <c r="D33" s="24">
        <f>1/91</f>
        <v>1.098901098901099E-2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 t="s">
        <v>122</v>
      </c>
      <c r="AH33" s="24"/>
      <c r="AI33" s="24"/>
      <c r="AJ33" s="24"/>
      <c r="AK33" s="24"/>
      <c r="AL33" s="24"/>
      <c r="AM33" s="24"/>
      <c r="AN33" s="24"/>
    </row>
    <row r="34" spans="1:40" x14ac:dyDescent="0.25">
      <c r="A34" s="17" t="s">
        <v>108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 t="s">
        <v>122</v>
      </c>
      <c r="AI34" s="24">
        <f>1/91</f>
        <v>1.098901098901099E-2</v>
      </c>
      <c r="AJ34" s="24"/>
      <c r="AK34" s="24"/>
      <c r="AL34" s="24"/>
      <c r="AM34" s="24"/>
      <c r="AN34" s="24"/>
    </row>
    <row r="35" spans="1:40" x14ac:dyDescent="0.25">
      <c r="A35" s="17" t="s">
        <v>109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>
        <f t="shared" ref="X35:X36" si="4">1/91</f>
        <v>1.098901098901099E-2</v>
      </c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 t="s">
        <v>122</v>
      </c>
      <c r="AJ35" s="24"/>
      <c r="AK35" s="24"/>
      <c r="AL35" s="24"/>
      <c r="AM35" s="24"/>
      <c r="AN35" s="24"/>
    </row>
    <row r="36" spans="1:40" x14ac:dyDescent="0.25">
      <c r="A36" s="17" t="s">
        <v>110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>
        <f t="shared" si="4"/>
        <v>1.098901098901099E-2</v>
      </c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 t="s">
        <v>122</v>
      </c>
      <c r="AK36" s="24"/>
      <c r="AL36" s="24"/>
      <c r="AM36" s="24"/>
      <c r="AN36" s="24"/>
    </row>
    <row r="37" spans="1:40" x14ac:dyDescent="0.25">
      <c r="A37" s="17" t="s">
        <v>111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>
        <f>1/91</f>
        <v>1.098901098901099E-2</v>
      </c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 t="s">
        <v>122</v>
      </c>
      <c r="AL37" s="24"/>
      <c r="AM37" s="24"/>
      <c r="AN37" s="24"/>
    </row>
    <row r="38" spans="1:40" x14ac:dyDescent="0.25">
      <c r="A38" s="17" t="s">
        <v>112</v>
      </c>
      <c r="B38" s="24"/>
      <c r="C38" s="24"/>
      <c r="D38" s="24"/>
      <c r="E38" s="24"/>
      <c r="F38" s="24">
        <f t="shared" ref="F38:F39" si="5">1/91</f>
        <v>1.098901098901099E-2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 t="s">
        <v>122</v>
      </c>
      <c r="AM38" s="24"/>
      <c r="AN38" s="24"/>
    </row>
    <row r="39" spans="1:40" x14ac:dyDescent="0.25">
      <c r="A39" s="17" t="s">
        <v>113</v>
      </c>
      <c r="B39" s="24"/>
      <c r="C39" s="24"/>
      <c r="D39" s="24"/>
      <c r="E39" s="24"/>
      <c r="F39" s="24">
        <f t="shared" si="5"/>
        <v>1.098901098901099E-2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 t="s">
        <v>122</v>
      </c>
      <c r="AN39" s="24"/>
    </row>
    <row r="40" spans="1:40" x14ac:dyDescent="0.25">
      <c r="A40" s="17" t="s">
        <v>114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>
        <f>1/91</f>
        <v>1.098901098901099E-2</v>
      </c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 t="s">
        <v>122</v>
      </c>
    </row>
    <row r="42" spans="1:40" x14ac:dyDescent="0.25">
      <c r="A42" s="15" t="s">
        <v>123</v>
      </c>
    </row>
    <row r="43" spans="1:40" x14ac:dyDescent="0.25">
      <c r="A43" s="15">
        <v>91</v>
      </c>
    </row>
  </sheetData>
  <conditionalFormatting sqref="B2:AN40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N40"/>
  <sheetViews>
    <sheetView zoomScale="37" workbookViewId="0">
      <selection activeCell="D3" sqref="D3"/>
    </sheetView>
  </sheetViews>
  <sheetFormatPr defaultColWidth="12.6640625" defaultRowHeight="15.75" customHeight="1" x14ac:dyDescent="0.25"/>
  <sheetData>
    <row r="1" spans="1:40" x14ac:dyDescent="0.25">
      <c r="A1" s="21"/>
      <c r="B1" s="21" t="s">
        <v>76</v>
      </c>
      <c r="C1" s="21" t="s">
        <v>77</v>
      </c>
      <c r="D1" s="21" t="s">
        <v>78</v>
      </c>
      <c r="E1" s="21" t="s">
        <v>79</v>
      </c>
      <c r="F1" s="21" t="s">
        <v>80</v>
      </c>
      <c r="G1" s="21" t="s">
        <v>81</v>
      </c>
      <c r="H1" s="21" t="s">
        <v>82</v>
      </c>
      <c r="I1" s="21" t="s">
        <v>83</v>
      </c>
      <c r="J1" s="21" t="s">
        <v>84</v>
      </c>
      <c r="K1" s="21" t="s">
        <v>85</v>
      </c>
      <c r="L1" s="21" t="s">
        <v>86</v>
      </c>
      <c r="M1" s="21" t="s">
        <v>87</v>
      </c>
      <c r="N1" s="21" t="s">
        <v>88</v>
      </c>
      <c r="O1" s="21" t="s">
        <v>89</v>
      </c>
      <c r="P1" s="21" t="s">
        <v>90</v>
      </c>
      <c r="Q1" s="21" t="s">
        <v>91</v>
      </c>
      <c r="R1" s="21" t="s">
        <v>92</v>
      </c>
      <c r="S1" s="21" t="s">
        <v>93</v>
      </c>
      <c r="T1" s="21" t="s">
        <v>94</v>
      </c>
      <c r="U1" s="21" t="s">
        <v>95</v>
      </c>
      <c r="V1" s="21" t="s">
        <v>96</v>
      </c>
      <c r="W1" s="21" t="s">
        <v>97</v>
      </c>
      <c r="X1" s="21" t="s">
        <v>98</v>
      </c>
      <c r="Y1" s="21" t="s">
        <v>99</v>
      </c>
      <c r="Z1" s="21" t="s">
        <v>100</v>
      </c>
      <c r="AA1" s="21" t="s">
        <v>101</v>
      </c>
      <c r="AB1" s="21" t="s">
        <v>102</v>
      </c>
      <c r="AC1" s="21" t="s">
        <v>103</v>
      </c>
      <c r="AD1" s="21" t="s">
        <v>104</v>
      </c>
      <c r="AE1" s="21" t="s">
        <v>105</v>
      </c>
      <c r="AF1" s="21" t="s">
        <v>106</v>
      </c>
      <c r="AG1" s="21" t="s">
        <v>107</v>
      </c>
      <c r="AH1" s="21" t="s">
        <v>108</v>
      </c>
      <c r="AI1" s="21" t="s">
        <v>109</v>
      </c>
      <c r="AJ1" s="21" t="s">
        <v>110</v>
      </c>
      <c r="AK1" s="21" t="s">
        <v>111</v>
      </c>
      <c r="AL1" s="21" t="s">
        <v>112</v>
      </c>
      <c r="AM1" s="21" t="s">
        <v>113</v>
      </c>
      <c r="AN1" s="21" t="s">
        <v>114</v>
      </c>
    </row>
    <row r="2" spans="1:40" x14ac:dyDescent="0.25">
      <c r="A2" s="21" t="s">
        <v>76</v>
      </c>
      <c r="B2" s="21" t="s">
        <v>117</v>
      </c>
      <c r="C2" s="21" t="s">
        <v>117</v>
      </c>
      <c r="D2" s="21" t="s">
        <v>117</v>
      </c>
      <c r="E2" s="21" t="s">
        <v>117</v>
      </c>
      <c r="F2" s="21" t="s">
        <v>117</v>
      </c>
      <c r="G2" s="21" t="s">
        <v>117</v>
      </c>
      <c r="H2" s="21" t="s">
        <v>117</v>
      </c>
      <c r="I2" s="21" t="s">
        <v>117</v>
      </c>
      <c r="J2" s="21" t="s">
        <v>117</v>
      </c>
      <c r="K2" s="21" t="s">
        <v>117</v>
      </c>
      <c r="L2" s="21" t="s">
        <v>117</v>
      </c>
      <c r="M2" s="21" t="s">
        <v>117</v>
      </c>
      <c r="N2" s="21" t="s">
        <v>117</v>
      </c>
      <c r="O2" s="21" t="s">
        <v>117</v>
      </c>
      <c r="P2" s="21" t="s">
        <v>117</v>
      </c>
      <c r="Q2" s="21" t="s">
        <v>117</v>
      </c>
      <c r="R2" s="21" t="s">
        <v>117</v>
      </c>
      <c r="S2" s="21" t="s">
        <v>117</v>
      </c>
      <c r="T2" s="21" t="s">
        <v>117</v>
      </c>
      <c r="U2" s="25">
        <v>273972602739726</v>
      </c>
      <c r="V2" s="21" t="s">
        <v>117</v>
      </c>
      <c r="W2" s="21" t="s">
        <v>117</v>
      </c>
      <c r="X2" s="21" t="s">
        <v>117</v>
      </c>
      <c r="Y2" s="26">
        <v>136986301369863</v>
      </c>
      <c r="Z2" s="21" t="s">
        <v>117</v>
      </c>
      <c r="AA2" s="21" t="s">
        <v>117</v>
      </c>
      <c r="AB2" s="21" t="s">
        <v>117</v>
      </c>
      <c r="AC2" s="21" t="s">
        <v>117</v>
      </c>
      <c r="AD2" s="21" t="s">
        <v>117</v>
      </c>
      <c r="AE2" s="21" t="s">
        <v>117</v>
      </c>
      <c r="AF2" s="21" t="s">
        <v>117</v>
      </c>
      <c r="AG2" s="21" t="s">
        <v>117</v>
      </c>
      <c r="AH2" s="21" t="s">
        <v>117</v>
      </c>
      <c r="AI2" s="21" t="s">
        <v>117</v>
      </c>
      <c r="AJ2" s="21" t="s">
        <v>117</v>
      </c>
      <c r="AK2" s="21" t="s">
        <v>117</v>
      </c>
      <c r="AL2" s="26">
        <v>136986301369863</v>
      </c>
      <c r="AM2" s="21" t="s">
        <v>117</v>
      </c>
      <c r="AN2" s="21" t="s">
        <v>117</v>
      </c>
    </row>
    <row r="3" spans="1:40" x14ac:dyDescent="0.25">
      <c r="A3" s="21" t="s">
        <v>77</v>
      </c>
      <c r="B3" s="21" t="s">
        <v>117</v>
      </c>
      <c r="C3" s="21" t="s">
        <v>117</v>
      </c>
      <c r="D3" s="26">
        <v>136986301369863</v>
      </c>
      <c r="E3" s="21" t="s">
        <v>117</v>
      </c>
      <c r="F3" s="21" t="s">
        <v>117</v>
      </c>
      <c r="G3" s="21" t="s">
        <v>117</v>
      </c>
      <c r="H3" s="21" t="s">
        <v>117</v>
      </c>
      <c r="I3" s="21" t="s">
        <v>117</v>
      </c>
      <c r="J3" s="21" t="s">
        <v>117</v>
      </c>
      <c r="K3" s="21" t="s">
        <v>117</v>
      </c>
      <c r="L3" s="21" t="s">
        <v>117</v>
      </c>
      <c r="M3" s="21" t="s">
        <v>117</v>
      </c>
      <c r="N3" s="21" t="s">
        <v>117</v>
      </c>
      <c r="O3" s="21" t="s">
        <v>117</v>
      </c>
      <c r="P3" s="26">
        <v>136986301369863</v>
      </c>
      <c r="Q3" s="21" t="s">
        <v>117</v>
      </c>
      <c r="R3" s="21" t="s">
        <v>117</v>
      </c>
      <c r="S3" s="21" t="s">
        <v>117</v>
      </c>
      <c r="T3" s="21" t="s">
        <v>117</v>
      </c>
      <c r="U3" s="21" t="s">
        <v>117</v>
      </c>
      <c r="V3" s="26">
        <v>136986301369863</v>
      </c>
      <c r="W3" s="21" t="s">
        <v>117</v>
      </c>
      <c r="X3" s="21" t="s">
        <v>117</v>
      </c>
      <c r="Y3" s="26">
        <v>136986301369863</v>
      </c>
      <c r="Z3" s="21" t="s">
        <v>117</v>
      </c>
      <c r="AA3" s="21" t="s">
        <v>117</v>
      </c>
      <c r="AB3" s="21" t="s">
        <v>117</v>
      </c>
      <c r="AC3" s="21" t="s">
        <v>117</v>
      </c>
      <c r="AD3" s="21" t="s">
        <v>117</v>
      </c>
      <c r="AE3" s="21" t="s">
        <v>117</v>
      </c>
      <c r="AF3" s="21" t="s">
        <v>117</v>
      </c>
      <c r="AG3" s="21" t="s">
        <v>117</v>
      </c>
      <c r="AH3" s="21" t="s">
        <v>117</v>
      </c>
      <c r="AI3" s="21" t="s">
        <v>117</v>
      </c>
      <c r="AJ3" s="21" t="s">
        <v>117</v>
      </c>
      <c r="AK3" s="21" t="s">
        <v>117</v>
      </c>
      <c r="AL3" s="21" t="s">
        <v>117</v>
      </c>
      <c r="AM3" s="21" t="s">
        <v>117</v>
      </c>
      <c r="AN3" s="21" t="s">
        <v>117</v>
      </c>
    </row>
    <row r="4" spans="1:40" x14ac:dyDescent="0.25">
      <c r="A4" s="21" t="s">
        <v>78</v>
      </c>
      <c r="B4" s="21" t="s">
        <v>117</v>
      </c>
      <c r="C4" s="21" t="s">
        <v>117</v>
      </c>
      <c r="D4" s="21" t="s">
        <v>117</v>
      </c>
      <c r="E4" s="26">
        <v>136986301369863</v>
      </c>
      <c r="F4" s="21" t="s">
        <v>117</v>
      </c>
      <c r="G4" s="21" t="s">
        <v>117</v>
      </c>
      <c r="H4" s="21" t="s">
        <v>117</v>
      </c>
      <c r="I4" s="21" t="s">
        <v>117</v>
      </c>
      <c r="J4" s="21" t="s">
        <v>117</v>
      </c>
      <c r="K4" s="21" t="s">
        <v>117</v>
      </c>
      <c r="L4" s="21" t="s">
        <v>117</v>
      </c>
      <c r="M4" s="21" t="s">
        <v>117</v>
      </c>
      <c r="N4" s="21" t="s">
        <v>117</v>
      </c>
      <c r="O4" s="21" t="s">
        <v>117</v>
      </c>
      <c r="P4" s="21" t="s">
        <v>117</v>
      </c>
      <c r="Q4" s="21" t="s">
        <v>117</v>
      </c>
      <c r="R4" s="21" t="s">
        <v>117</v>
      </c>
      <c r="S4" s="21" t="s">
        <v>117</v>
      </c>
      <c r="T4" s="21" t="s">
        <v>117</v>
      </c>
      <c r="U4" s="21" t="s">
        <v>117</v>
      </c>
      <c r="V4" s="21" t="s">
        <v>117</v>
      </c>
      <c r="W4" s="21" t="s">
        <v>117</v>
      </c>
      <c r="X4" s="21" t="s">
        <v>117</v>
      </c>
      <c r="Y4" s="21" t="s">
        <v>117</v>
      </c>
      <c r="Z4" s="21" t="s">
        <v>117</v>
      </c>
      <c r="AA4" s="21" t="s">
        <v>117</v>
      </c>
      <c r="AB4" s="21" t="s">
        <v>117</v>
      </c>
      <c r="AC4" s="21" t="s">
        <v>117</v>
      </c>
      <c r="AD4" s="21" t="s">
        <v>117</v>
      </c>
      <c r="AE4" s="21" t="s">
        <v>117</v>
      </c>
      <c r="AF4" s="21" t="s">
        <v>117</v>
      </c>
      <c r="AG4" s="21" t="s">
        <v>117</v>
      </c>
      <c r="AH4" s="26">
        <v>136986301369863</v>
      </c>
      <c r="AI4" s="21" t="s">
        <v>117</v>
      </c>
      <c r="AJ4" s="21" t="s">
        <v>117</v>
      </c>
      <c r="AK4" s="21" t="s">
        <v>117</v>
      </c>
      <c r="AL4" s="21" t="s">
        <v>117</v>
      </c>
      <c r="AM4" s="21" t="s">
        <v>117</v>
      </c>
      <c r="AN4" s="21" t="s">
        <v>117</v>
      </c>
    </row>
    <row r="5" spans="1:40" x14ac:dyDescent="0.25">
      <c r="A5" s="21" t="s">
        <v>79</v>
      </c>
      <c r="B5" s="21" t="s">
        <v>117</v>
      </c>
      <c r="C5" s="21" t="s">
        <v>117</v>
      </c>
      <c r="D5" s="21" t="s">
        <v>117</v>
      </c>
      <c r="E5" s="21" t="s">
        <v>117</v>
      </c>
      <c r="F5" s="26">
        <v>136986301369863</v>
      </c>
      <c r="G5" s="21" t="s">
        <v>117</v>
      </c>
      <c r="H5" s="21" t="s">
        <v>117</v>
      </c>
      <c r="I5" s="21" t="s">
        <v>117</v>
      </c>
      <c r="J5" s="21" t="s">
        <v>117</v>
      </c>
      <c r="K5" s="21" t="s">
        <v>117</v>
      </c>
      <c r="L5" s="21" t="s">
        <v>117</v>
      </c>
      <c r="M5" s="21" t="s">
        <v>117</v>
      </c>
      <c r="N5" s="21" t="s">
        <v>117</v>
      </c>
      <c r="O5" s="21" t="s">
        <v>117</v>
      </c>
      <c r="P5" s="21" t="s">
        <v>117</v>
      </c>
      <c r="Q5" s="21" t="s">
        <v>117</v>
      </c>
      <c r="R5" s="21" t="s">
        <v>117</v>
      </c>
      <c r="S5" s="21" t="s">
        <v>117</v>
      </c>
      <c r="T5" s="21" t="s">
        <v>117</v>
      </c>
      <c r="U5" s="21" t="s">
        <v>117</v>
      </c>
      <c r="V5" s="21" t="s">
        <v>117</v>
      </c>
      <c r="W5" s="21" t="s">
        <v>117</v>
      </c>
      <c r="X5" s="21" t="s">
        <v>117</v>
      </c>
      <c r="Y5" s="21" t="s">
        <v>117</v>
      </c>
      <c r="Z5" s="21" t="s">
        <v>117</v>
      </c>
      <c r="AA5" s="21" t="s">
        <v>117</v>
      </c>
      <c r="AB5" s="21" t="s">
        <v>117</v>
      </c>
      <c r="AC5" s="21" t="s">
        <v>117</v>
      </c>
      <c r="AD5" s="21" t="s">
        <v>117</v>
      </c>
      <c r="AE5" s="21" t="s">
        <v>117</v>
      </c>
      <c r="AF5" s="21" t="s">
        <v>117</v>
      </c>
      <c r="AG5" s="21" t="s">
        <v>117</v>
      </c>
      <c r="AH5" s="21" t="s">
        <v>117</v>
      </c>
      <c r="AI5" s="21" t="s">
        <v>117</v>
      </c>
      <c r="AJ5" s="21" t="s">
        <v>117</v>
      </c>
      <c r="AK5" s="21" t="s">
        <v>117</v>
      </c>
      <c r="AL5" s="21" t="s">
        <v>117</v>
      </c>
      <c r="AM5" s="21" t="s">
        <v>117</v>
      </c>
      <c r="AN5" s="21" t="s">
        <v>117</v>
      </c>
    </row>
    <row r="6" spans="1:40" x14ac:dyDescent="0.25">
      <c r="A6" s="21" t="s">
        <v>80</v>
      </c>
      <c r="B6" s="21" t="s">
        <v>117</v>
      </c>
      <c r="C6" s="21" t="s">
        <v>117</v>
      </c>
      <c r="D6" s="21" t="s">
        <v>117</v>
      </c>
      <c r="E6" s="21" t="s">
        <v>117</v>
      </c>
      <c r="F6" s="21" t="s">
        <v>117</v>
      </c>
      <c r="G6" s="26">
        <v>136986301369863</v>
      </c>
      <c r="H6" s="21" t="s">
        <v>117</v>
      </c>
      <c r="I6" s="21" t="s">
        <v>117</v>
      </c>
      <c r="J6" s="21" t="s">
        <v>117</v>
      </c>
      <c r="K6" s="21" t="s">
        <v>117</v>
      </c>
      <c r="L6" s="21" t="s">
        <v>117</v>
      </c>
      <c r="M6" s="21" t="s">
        <v>117</v>
      </c>
      <c r="N6" s="26">
        <v>136986301369863</v>
      </c>
      <c r="O6" s="21" t="s">
        <v>117</v>
      </c>
      <c r="P6" s="21" t="s">
        <v>117</v>
      </c>
      <c r="Q6" s="21" t="s">
        <v>117</v>
      </c>
      <c r="R6" s="21" t="s">
        <v>117</v>
      </c>
      <c r="S6" s="21" t="s">
        <v>117</v>
      </c>
      <c r="T6" s="21" t="s">
        <v>117</v>
      </c>
      <c r="U6" s="21" t="s">
        <v>117</v>
      </c>
      <c r="V6" s="21" t="s">
        <v>117</v>
      </c>
      <c r="W6" s="21" t="s">
        <v>117</v>
      </c>
      <c r="X6" s="26">
        <v>136986301369863</v>
      </c>
      <c r="Y6" s="21" t="s">
        <v>117</v>
      </c>
      <c r="Z6" s="21" t="s">
        <v>117</v>
      </c>
      <c r="AA6" s="21" t="s">
        <v>117</v>
      </c>
      <c r="AB6" s="21" t="s">
        <v>117</v>
      </c>
      <c r="AC6" s="21" t="s">
        <v>117</v>
      </c>
      <c r="AD6" s="21" t="s">
        <v>117</v>
      </c>
      <c r="AE6" s="21" t="s">
        <v>117</v>
      </c>
      <c r="AF6" s="21" t="s">
        <v>117</v>
      </c>
      <c r="AG6" s="21" t="s">
        <v>117</v>
      </c>
      <c r="AH6" s="21" t="s">
        <v>117</v>
      </c>
      <c r="AI6" s="21" t="s">
        <v>117</v>
      </c>
      <c r="AJ6" s="26">
        <v>136986301369863</v>
      </c>
      <c r="AK6" s="21" t="s">
        <v>117</v>
      </c>
      <c r="AL6" s="21" t="s">
        <v>117</v>
      </c>
      <c r="AM6" s="21" t="s">
        <v>117</v>
      </c>
      <c r="AN6" s="26">
        <v>136986301369863</v>
      </c>
    </row>
    <row r="7" spans="1:40" x14ac:dyDescent="0.25">
      <c r="A7" s="21" t="s">
        <v>81</v>
      </c>
      <c r="B7" s="21" t="s">
        <v>117</v>
      </c>
      <c r="C7" s="21" t="s">
        <v>117</v>
      </c>
      <c r="D7" s="21" t="s">
        <v>117</v>
      </c>
      <c r="E7" s="21" t="s">
        <v>117</v>
      </c>
      <c r="F7" s="21" t="s">
        <v>117</v>
      </c>
      <c r="G7" s="21" t="s">
        <v>117</v>
      </c>
      <c r="H7" s="26">
        <v>136986301369863</v>
      </c>
      <c r="I7" s="21" t="s">
        <v>117</v>
      </c>
      <c r="J7" s="21" t="s">
        <v>117</v>
      </c>
      <c r="K7" s="25">
        <v>273972602739726</v>
      </c>
      <c r="L7" s="21" t="s">
        <v>117</v>
      </c>
      <c r="M7" s="21" t="s">
        <v>117</v>
      </c>
      <c r="N7" s="21" t="s">
        <v>117</v>
      </c>
      <c r="O7" s="21" t="s">
        <v>117</v>
      </c>
      <c r="P7" s="21" t="s">
        <v>117</v>
      </c>
      <c r="Q7" s="21" t="s">
        <v>117</v>
      </c>
      <c r="R7" s="21" t="s">
        <v>117</v>
      </c>
      <c r="S7" s="21" t="s">
        <v>117</v>
      </c>
      <c r="T7" s="21" t="s">
        <v>117</v>
      </c>
      <c r="U7" s="21" t="s">
        <v>117</v>
      </c>
      <c r="V7" s="21" t="s">
        <v>117</v>
      </c>
      <c r="W7" s="21" t="s">
        <v>117</v>
      </c>
      <c r="X7" s="21" t="s">
        <v>117</v>
      </c>
      <c r="Y7" s="21" t="s">
        <v>117</v>
      </c>
      <c r="Z7" s="26">
        <v>136986301369863</v>
      </c>
      <c r="AA7" s="21" t="s">
        <v>117</v>
      </c>
      <c r="AB7" s="21" t="s">
        <v>117</v>
      </c>
      <c r="AC7" s="21" t="s">
        <v>117</v>
      </c>
      <c r="AD7" s="21" t="s">
        <v>117</v>
      </c>
      <c r="AE7" s="21" t="s">
        <v>117</v>
      </c>
      <c r="AF7" s="21" t="s">
        <v>117</v>
      </c>
      <c r="AG7" s="21" t="s">
        <v>117</v>
      </c>
      <c r="AH7" s="21" t="s">
        <v>117</v>
      </c>
      <c r="AI7" s="21" t="s">
        <v>117</v>
      </c>
      <c r="AJ7" s="21" t="s">
        <v>117</v>
      </c>
      <c r="AK7" s="21" t="s">
        <v>117</v>
      </c>
      <c r="AL7" s="21" t="s">
        <v>117</v>
      </c>
      <c r="AM7" s="21" t="s">
        <v>117</v>
      </c>
      <c r="AN7" s="21" t="s">
        <v>117</v>
      </c>
    </row>
    <row r="8" spans="1:40" x14ac:dyDescent="0.25">
      <c r="A8" s="21" t="s">
        <v>82</v>
      </c>
      <c r="B8" s="21" t="s">
        <v>117</v>
      </c>
      <c r="C8" s="21" t="s">
        <v>117</v>
      </c>
      <c r="D8" s="21" t="s">
        <v>117</v>
      </c>
      <c r="E8" s="21" t="s">
        <v>117</v>
      </c>
      <c r="F8" s="21" t="s">
        <v>117</v>
      </c>
      <c r="G8" s="21" t="s">
        <v>117</v>
      </c>
      <c r="H8" s="21" t="s">
        <v>117</v>
      </c>
      <c r="I8" s="26">
        <v>136986301369863</v>
      </c>
      <c r="J8" s="21" t="s">
        <v>117</v>
      </c>
      <c r="K8" s="21" t="s">
        <v>117</v>
      </c>
      <c r="L8" s="21" t="s">
        <v>117</v>
      </c>
      <c r="M8" s="21" t="s">
        <v>117</v>
      </c>
      <c r="N8" s="21" t="s">
        <v>117</v>
      </c>
      <c r="O8" s="21" t="s">
        <v>117</v>
      </c>
      <c r="P8" s="21" t="s">
        <v>117</v>
      </c>
      <c r="Q8" s="21" t="s">
        <v>117</v>
      </c>
      <c r="R8" s="21" t="s">
        <v>117</v>
      </c>
      <c r="S8" s="21" t="s">
        <v>117</v>
      </c>
      <c r="T8" s="21" t="s">
        <v>117</v>
      </c>
      <c r="U8" s="21" t="s">
        <v>117</v>
      </c>
      <c r="V8" s="21" t="s">
        <v>117</v>
      </c>
      <c r="W8" s="21" t="s">
        <v>117</v>
      </c>
      <c r="X8" s="21" t="s">
        <v>117</v>
      </c>
      <c r="Y8" s="21" t="s">
        <v>117</v>
      </c>
      <c r="Z8" s="21" t="s">
        <v>117</v>
      </c>
      <c r="AA8" s="21" t="s">
        <v>117</v>
      </c>
      <c r="AB8" s="21" t="s">
        <v>117</v>
      </c>
      <c r="AC8" s="21" t="s">
        <v>117</v>
      </c>
      <c r="AD8" s="21" t="s">
        <v>117</v>
      </c>
      <c r="AE8" s="21" t="s">
        <v>117</v>
      </c>
      <c r="AF8" s="21" t="s">
        <v>117</v>
      </c>
      <c r="AG8" s="21" t="s">
        <v>117</v>
      </c>
      <c r="AH8" s="21" t="s">
        <v>117</v>
      </c>
      <c r="AI8" s="21" t="s">
        <v>117</v>
      </c>
      <c r="AJ8" s="21" t="s">
        <v>117</v>
      </c>
      <c r="AK8" s="21" t="s">
        <v>117</v>
      </c>
      <c r="AL8" s="21" t="s">
        <v>117</v>
      </c>
      <c r="AM8" s="21" t="s">
        <v>117</v>
      </c>
      <c r="AN8" s="21" t="s">
        <v>117</v>
      </c>
    </row>
    <row r="9" spans="1:40" x14ac:dyDescent="0.25">
      <c r="A9" s="21" t="s">
        <v>83</v>
      </c>
      <c r="B9" s="21" t="s">
        <v>117</v>
      </c>
      <c r="C9" s="21" t="s">
        <v>117</v>
      </c>
      <c r="D9" s="21" t="s">
        <v>117</v>
      </c>
      <c r="E9" s="21" t="s">
        <v>117</v>
      </c>
      <c r="F9" s="21" t="s">
        <v>117</v>
      </c>
      <c r="G9" s="21" t="s">
        <v>117</v>
      </c>
      <c r="H9" s="26">
        <v>136986301369863</v>
      </c>
      <c r="I9" s="21" t="s">
        <v>117</v>
      </c>
      <c r="J9" s="21" t="s">
        <v>117</v>
      </c>
      <c r="K9" s="21" t="s">
        <v>117</v>
      </c>
      <c r="L9" s="21" t="s">
        <v>117</v>
      </c>
      <c r="M9" s="21" t="s">
        <v>117</v>
      </c>
      <c r="N9" s="21" t="s">
        <v>117</v>
      </c>
      <c r="O9" s="21" t="s">
        <v>117</v>
      </c>
      <c r="P9" s="21" t="s">
        <v>117</v>
      </c>
      <c r="Q9" s="26">
        <v>136986301369863</v>
      </c>
      <c r="R9" s="21" t="s">
        <v>117</v>
      </c>
      <c r="S9" s="21" t="s">
        <v>117</v>
      </c>
      <c r="T9" s="21" t="s">
        <v>117</v>
      </c>
      <c r="U9" s="21" t="s">
        <v>117</v>
      </c>
      <c r="V9" s="21" t="s">
        <v>117</v>
      </c>
      <c r="W9" s="21" t="s">
        <v>117</v>
      </c>
      <c r="X9" s="21" t="s">
        <v>117</v>
      </c>
      <c r="Y9" s="21" t="s">
        <v>117</v>
      </c>
      <c r="Z9" s="21" t="s">
        <v>117</v>
      </c>
      <c r="AA9" s="21" t="s">
        <v>117</v>
      </c>
      <c r="AB9" s="21" t="s">
        <v>117</v>
      </c>
      <c r="AC9" s="21" t="s">
        <v>117</v>
      </c>
      <c r="AD9" s="26">
        <v>136986301369863</v>
      </c>
      <c r="AE9" s="21" t="s">
        <v>117</v>
      </c>
      <c r="AF9" s="21" t="s">
        <v>117</v>
      </c>
      <c r="AG9" s="21" t="s">
        <v>117</v>
      </c>
      <c r="AH9" s="21" t="s">
        <v>117</v>
      </c>
      <c r="AI9" s="21" t="s">
        <v>117</v>
      </c>
      <c r="AJ9" s="21" t="s">
        <v>117</v>
      </c>
      <c r="AK9" s="21" t="s">
        <v>117</v>
      </c>
      <c r="AL9" s="21" t="s">
        <v>117</v>
      </c>
      <c r="AM9" s="21" t="s">
        <v>117</v>
      </c>
      <c r="AN9" s="21" t="s">
        <v>117</v>
      </c>
    </row>
    <row r="10" spans="1:40" x14ac:dyDescent="0.25">
      <c r="A10" s="21" t="s">
        <v>84</v>
      </c>
      <c r="B10" s="21" t="s">
        <v>117</v>
      </c>
      <c r="C10" s="21" t="s">
        <v>117</v>
      </c>
      <c r="D10" s="21" t="s">
        <v>117</v>
      </c>
      <c r="E10" s="21" t="s">
        <v>117</v>
      </c>
      <c r="F10" s="21" t="s">
        <v>117</v>
      </c>
      <c r="G10" s="26">
        <v>136986301369863</v>
      </c>
      <c r="H10" s="21" t="s">
        <v>117</v>
      </c>
      <c r="I10" s="21" t="s">
        <v>117</v>
      </c>
      <c r="J10" s="21" t="s">
        <v>117</v>
      </c>
      <c r="K10" s="21" t="s">
        <v>117</v>
      </c>
      <c r="L10" s="21" t="s">
        <v>117</v>
      </c>
      <c r="M10" s="21" t="s">
        <v>117</v>
      </c>
      <c r="N10" s="21" t="s">
        <v>117</v>
      </c>
      <c r="O10" s="21" t="s">
        <v>117</v>
      </c>
      <c r="P10" s="26">
        <v>136986301369863</v>
      </c>
      <c r="Q10" s="21" t="s">
        <v>117</v>
      </c>
      <c r="R10" s="21" t="s">
        <v>117</v>
      </c>
      <c r="S10" s="21" t="s">
        <v>117</v>
      </c>
      <c r="T10" s="21" t="s">
        <v>117</v>
      </c>
      <c r="U10" s="21" t="s">
        <v>117</v>
      </c>
      <c r="V10" s="21" t="s">
        <v>117</v>
      </c>
      <c r="W10" s="21" t="s">
        <v>117</v>
      </c>
      <c r="X10" s="21" t="s">
        <v>117</v>
      </c>
      <c r="Y10" s="26">
        <v>136986301369863</v>
      </c>
      <c r="Z10" s="21" t="s">
        <v>117</v>
      </c>
      <c r="AA10" s="26">
        <v>136986301369863</v>
      </c>
      <c r="AB10" s="21" t="s">
        <v>117</v>
      </c>
      <c r="AC10" s="21" t="s">
        <v>117</v>
      </c>
      <c r="AD10" s="21" t="s">
        <v>117</v>
      </c>
      <c r="AE10" s="21" t="s">
        <v>117</v>
      </c>
      <c r="AF10" s="21" t="s">
        <v>117</v>
      </c>
      <c r="AG10" s="21" t="s">
        <v>117</v>
      </c>
      <c r="AH10" s="21" t="s">
        <v>117</v>
      </c>
      <c r="AI10" s="21" t="s">
        <v>117</v>
      </c>
      <c r="AJ10" s="21" t="s">
        <v>117</v>
      </c>
      <c r="AK10" s="21" t="s">
        <v>117</v>
      </c>
      <c r="AL10" s="21" t="s">
        <v>117</v>
      </c>
      <c r="AM10" s="21" t="s">
        <v>117</v>
      </c>
      <c r="AN10" s="21" t="s">
        <v>117</v>
      </c>
    </row>
    <row r="11" spans="1:40" x14ac:dyDescent="0.25">
      <c r="A11" s="21" t="s">
        <v>85</v>
      </c>
      <c r="B11" s="21" t="s">
        <v>117</v>
      </c>
      <c r="C11" s="21" t="s">
        <v>117</v>
      </c>
      <c r="D11" s="21" t="s">
        <v>117</v>
      </c>
      <c r="E11" s="21" t="s">
        <v>117</v>
      </c>
      <c r="F11" s="21" t="s">
        <v>117</v>
      </c>
      <c r="G11" s="21" t="s">
        <v>117</v>
      </c>
      <c r="H11" s="21" t="s">
        <v>117</v>
      </c>
      <c r="I11" s="21" t="s">
        <v>117</v>
      </c>
      <c r="J11" s="21" t="s">
        <v>117</v>
      </c>
      <c r="K11" s="21" t="s">
        <v>117</v>
      </c>
      <c r="L11" s="25">
        <v>273972602739726</v>
      </c>
      <c r="M11" s="21" t="s">
        <v>117</v>
      </c>
      <c r="N11" s="21" t="s">
        <v>117</v>
      </c>
      <c r="O11" s="21" t="s">
        <v>117</v>
      </c>
      <c r="P11" s="21" t="s">
        <v>117</v>
      </c>
      <c r="Q11" s="21" t="s">
        <v>117</v>
      </c>
      <c r="R11" s="21" t="s">
        <v>117</v>
      </c>
      <c r="S11" s="21" t="s">
        <v>117</v>
      </c>
      <c r="T11" s="21" t="s">
        <v>117</v>
      </c>
      <c r="U11" s="21" t="s">
        <v>117</v>
      </c>
      <c r="V11" s="21" t="s">
        <v>117</v>
      </c>
      <c r="W11" s="21" t="s">
        <v>117</v>
      </c>
      <c r="X11" s="21" t="s">
        <v>117</v>
      </c>
      <c r="Y11" s="21" t="s">
        <v>117</v>
      </c>
      <c r="Z11" s="21" t="s">
        <v>117</v>
      </c>
      <c r="AA11" s="21" t="s">
        <v>117</v>
      </c>
      <c r="AB11" s="26">
        <v>136986301369863</v>
      </c>
      <c r="AC11" s="21" t="s">
        <v>117</v>
      </c>
      <c r="AD11" s="21" t="s">
        <v>117</v>
      </c>
      <c r="AE11" s="21" t="s">
        <v>117</v>
      </c>
      <c r="AF11" s="21" t="s">
        <v>117</v>
      </c>
      <c r="AG11" s="21" t="s">
        <v>117</v>
      </c>
      <c r="AH11" s="21" t="s">
        <v>117</v>
      </c>
      <c r="AI11" s="21" t="s">
        <v>117</v>
      </c>
      <c r="AJ11" s="21" t="s">
        <v>117</v>
      </c>
      <c r="AK11" s="21" t="s">
        <v>117</v>
      </c>
      <c r="AL11" s="21" t="s">
        <v>117</v>
      </c>
      <c r="AM11" s="21" t="s">
        <v>117</v>
      </c>
      <c r="AN11" s="21" t="s">
        <v>117</v>
      </c>
    </row>
    <row r="12" spans="1:40" x14ac:dyDescent="0.25">
      <c r="A12" s="21" t="s">
        <v>86</v>
      </c>
      <c r="B12" s="21" t="s">
        <v>117</v>
      </c>
      <c r="C12" s="21" t="s">
        <v>117</v>
      </c>
      <c r="D12" s="21" t="s">
        <v>117</v>
      </c>
      <c r="E12" s="21" t="s">
        <v>117</v>
      </c>
      <c r="F12" s="21" t="s">
        <v>117</v>
      </c>
      <c r="G12" s="21" t="s">
        <v>117</v>
      </c>
      <c r="H12" s="21" t="s">
        <v>117</v>
      </c>
      <c r="I12" s="21" t="s">
        <v>117</v>
      </c>
      <c r="J12" s="21" t="s">
        <v>117</v>
      </c>
      <c r="K12" s="21" t="s">
        <v>117</v>
      </c>
      <c r="L12" s="21" t="s">
        <v>117</v>
      </c>
      <c r="M12" s="26">
        <v>136986301369863</v>
      </c>
      <c r="N12" s="21" t="s">
        <v>117</v>
      </c>
      <c r="O12" s="21" t="s">
        <v>117</v>
      </c>
      <c r="P12" s="21" t="s">
        <v>117</v>
      </c>
      <c r="Q12" s="21" t="s">
        <v>117</v>
      </c>
      <c r="R12" s="21" t="s">
        <v>117</v>
      </c>
      <c r="S12" s="21" t="s">
        <v>117</v>
      </c>
      <c r="T12" s="21" t="s">
        <v>117</v>
      </c>
      <c r="U12" s="21" t="s">
        <v>117</v>
      </c>
      <c r="V12" s="21" t="s">
        <v>117</v>
      </c>
      <c r="W12" s="21" t="s">
        <v>117</v>
      </c>
      <c r="X12" s="21" t="s">
        <v>117</v>
      </c>
      <c r="Y12" s="21" t="s">
        <v>117</v>
      </c>
      <c r="Z12" s="21" t="s">
        <v>117</v>
      </c>
      <c r="AA12" s="21" t="s">
        <v>117</v>
      </c>
      <c r="AB12" s="21" t="s">
        <v>117</v>
      </c>
      <c r="AC12" s="21" t="s">
        <v>117</v>
      </c>
      <c r="AD12" s="21" t="s">
        <v>117</v>
      </c>
      <c r="AE12" s="21" t="s">
        <v>117</v>
      </c>
      <c r="AF12" s="21" t="s">
        <v>117</v>
      </c>
      <c r="AG12" s="21" t="s">
        <v>117</v>
      </c>
      <c r="AH12" s="21" t="s">
        <v>117</v>
      </c>
      <c r="AI12" s="21" t="s">
        <v>117</v>
      </c>
      <c r="AJ12" s="21" t="s">
        <v>117</v>
      </c>
      <c r="AK12" s="21" t="s">
        <v>117</v>
      </c>
      <c r="AL12" s="21" t="s">
        <v>117</v>
      </c>
      <c r="AM12" s="21" t="s">
        <v>117</v>
      </c>
      <c r="AN12" s="21" t="s">
        <v>117</v>
      </c>
    </row>
    <row r="13" spans="1:40" x14ac:dyDescent="0.25">
      <c r="A13" s="21" t="s">
        <v>87</v>
      </c>
      <c r="B13" s="21" t="s">
        <v>117</v>
      </c>
      <c r="C13" s="21" t="s">
        <v>117</v>
      </c>
      <c r="D13" s="21" t="s">
        <v>117</v>
      </c>
      <c r="E13" s="21" t="s">
        <v>117</v>
      </c>
      <c r="F13" s="21" t="s">
        <v>117</v>
      </c>
      <c r="G13" s="21" t="s">
        <v>117</v>
      </c>
      <c r="H13" s="21" t="s">
        <v>117</v>
      </c>
      <c r="I13" s="21" t="s">
        <v>117</v>
      </c>
      <c r="J13" s="21" t="s">
        <v>117</v>
      </c>
      <c r="K13" s="21" t="s">
        <v>117</v>
      </c>
      <c r="L13" s="21" t="s">
        <v>117</v>
      </c>
      <c r="M13" s="21" t="s">
        <v>117</v>
      </c>
      <c r="N13" s="26">
        <v>136986301369863</v>
      </c>
      <c r="O13" s="21" t="s">
        <v>117</v>
      </c>
      <c r="P13" s="21" t="s">
        <v>117</v>
      </c>
      <c r="Q13" s="21" t="s">
        <v>117</v>
      </c>
      <c r="R13" s="26">
        <v>136986301369863</v>
      </c>
      <c r="S13" s="21" t="s">
        <v>117</v>
      </c>
      <c r="T13" s="21" t="s">
        <v>117</v>
      </c>
      <c r="U13" s="21" t="s">
        <v>117</v>
      </c>
      <c r="V13" s="21" t="s">
        <v>117</v>
      </c>
      <c r="W13" s="21" t="s">
        <v>117</v>
      </c>
      <c r="X13" s="21" t="s">
        <v>117</v>
      </c>
      <c r="Y13" s="21" t="s">
        <v>117</v>
      </c>
      <c r="Z13" s="21" t="s">
        <v>117</v>
      </c>
      <c r="AA13" s="21" t="s">
        <v>117</v>
      </c>
      <c r="AB13" s="21" t="s">
        <v>117</v>
      </c>
      <c r="AC13" s="21" t="s">
        <v>117</v>
      </c>
      <c r="AD13" s="21" t="s">
        <v>117</v>
      </c>
      <c r="AE13" s="21" t="s">
        <v>117</v>
      </c>
      <c r="AF13" s="21" t="s">
        <v>117</v>
      </c>
      <c r="AG13" s="21" t="s">
        <v>117</v>
      </c>
      <c r="AH13" s="21" t="s">
        <v>117</v>
      </c>
      <c r="AI13" s="21" t="s">
        <v>117</v>
      </c>
      <c r="AJ13" s="21" t="s">
        <v>117</v>
      </c>
      <c r="AK13" s="21" t="s">
        <v>117</v>
      </c>
      <c r="AL13" s="21" t="s">
        <v>117</v>
      </c>
      <c r="AM13" s="21" t="s">
        <v>117</v>
      </c>
      <c r="AN13" s="21" t="s">
        <v>117</v>
      </c>
    </row>
    <row r="14" spans="1:40" x14ac:dyDescent="0.25">
      <c r="A14" s="21" t="s">
        <v>88</v>
      </c>
      <c r="B14" s="21" t="s">
        <v>117</v>
      </c>
      <c r="C14" s="21" t="s">
        <v>117</v>
      </c>
      <c r="D14" s="21" t="s">
        <v>117</v>
      </c>
      <c r="E14" s="21" t="s">
        <v>117</v>
      </c>
      <c r="F14" s="21" t="s">
        <v>117</v>
      </c>
      <c r="G14" s="21" t="s">
        <v>117</v>
      </c>
      <c r="H14" s="21" t="s">
        <v>117</v>
      </c>
      <c r="I14" s="21" t="s">
        <v>117</v>
      </c>
      <c r="J14" s="21" t="s">
        <v>117</v>
      </c>
      <c r="K14" s="25">
        <v>273972602739726</v>
      </c>
      <c r="L14" s="21" t="s">
        <v>117</v>
      </c>
      <c r="M14" s="21" t="s">
        <v>117</v>
      </c>
      <c r="N14" s="21" t="s">
        <v>117</v>
      </c>
      <c r="O14" s="21" t="s">
        <v>117</v>
      </c>
      <c r="P14" s="21" t="s">
        <v>117</v>
      </c>
      <c r="Q14" s="21" t="s">
        <v>117</v>
      </c>
      <c r="R14" s="21" t="s">
        <v>117</v>
      </c>
      <c r="S14" s="21" t="s">
        <v>117</v>
      </c>
      <c r="T14" s="21" t="s">
        <v>117</v>
      </c>
      <c r="U14" s="21" t="s">
        <v>117</v>
      </c>
      <c r="V14" s="21" t="s">
        <v>117</v>
      </c>
      <c r="W14" s="21" t="s">
        <v>117</v>
      </c>
      <c r="X14" s="21" t="s">
        <v>117</v>
      </c>
      <c r="Y14" s="21" t="s">
        <v>117</v>
      </c>
      <c r="Z14" s="26">
        <v>136986301369863</v>
      </c>
      <c r="AA14" s="21" t="s">
        <v>117</v>
      </c>
      <c r="AB14" s="21" t="s">
        <v>117</v>
      </c>
      <c r="AC14" s="21" t="s">
        <v>117</v>
      </c>
      <c r="AD14" s="21" t="s">
        <v>117</v>
      </c>
      <c r="AE14" s="21" t="s">
        <v>117</v>
      </c>
      <c r="AF14" s="21" t="s">
        <v>117</v>
      </c>
      <c r="AG14" s="21" t="s">
        <v>117</v>
      </c>
      <c r="AH14" s="21" t="s">
        <v>117</v>
      </c>
      <c r="AI14" s="21" t="s">
        <v>117</v>
      </c>
      <c r="AJ14" s="21" t="s">
        <v>117</v>
      </c>
      <c r="AK14" s="21" t="s">
        <v>117</v>
      </c>
      <c r="AL14" s="21" t="s">
        <v>117</v>
      </c>
      <c r="AM14" s="21" t="s">
        <v>117</v>
      </c>
      <c r="AN14" s="21" t="s">
        <v>117</v>
      </c>
    </row>
    <row r="15" spans="1:40" x14ac:dyDescent="0.25">
      <c r="A15" s="21" t="s">
        <v>89</v>
      </c>
      <c r="B15" s="21" t="s">
        <v>117</v>
      </c>
      <c r="C15" s="21" t="s">
        <v>117</v>
      </c>
      <c r="D15" s="21" t="s">
        <v>117</v>
      </c>
      <c r="E15" s="21" t="s">
        <v>117</v>
      </c>
      <c r="F15" s="21" t="s">
        <v>117</v>
      </c>
      <c r="G15" s="21" t="s">
        <v>117</v>
      </c>
      <c r="H15" s="21" t="s">
        <v>117</v>
      </c>
      <c r="I15" s="21" t="s">
        <v>117</v>
      </c>
      <c r="J15" s="21" t="s">
        <v>117</v>
      </c>
      <c r="K15" s="21" t="s">
        <v>117</v>
      </c>
      <c r="L15" s="21" t="s">
        <v>117</v>
      </c>
      <c r="M15" s="21" t="s">
        <v>117</v>
      </c>
      <c r="N15" s="21" t="s">
        <v>117</v>
      </c>
      <c r="O15" s="21" t="s">
        <v>117</v>
      </c>
      <c r="P15" s="21" t="s">
        <v>117</v>
      </c>
      <c r="Q15" s="21" t="s">
        <v>117</v>
      </c>
      <c r="R15" s="21" t="s">
        <v>117</v>
      </c>
      <c r="S15" s="21" t="s">
        <v>117</v>
      </c>
      <c r="T15" s="21" t="s">
        <v>117</v>
      </c>
      <c r="U15" s="21" t="s">
        <v>117</v>
      </c>
      <c r="V15" s="21" t="s">
        <v>117</v>
      </c>
      <c r="W15" s="21" t="s">
        <v>117</v>
      </c>
      <c r="X15" s="21" t="s">
        <v>117</v>
      </c>
      <c r="Y15" s="21" t="s">
        <v>117</v>
      </c>
      <c r="Z15" s="21" t="s">
        <v>117</v>
      </c>
      <c r="AA15" s="21" t="s">
        <v>117</v>
      </c>
      <c r="AB15" s="21" t="s">
        <v>117</v>
      </c>
      <c r="AC15" s="21" t="s">
        <v>117</v>
      </c>
      <c r="AD15" s="21" t="s">
        <v>117</v>
      </c>
      <c r="AE15" s="21" t="s">
        <v>117</v>
      </c>
      <c r="AF15" s="21" t="s">
        <v>117</v>
      </c>
      <c r="AG15" s="21" t="s">
        <v>117</v>
      </c>
      <c r="AH15" s="21" t="s">
        <v>117</v>
      </c>
      <c r="AI15" s="21" t="s">
        <v>117</v>
      </c>
      <c r="AJ15" s="21" t="s">
        <v>117</v>
      </c>
      <c r="AK15" s="21" t="s">
        <v>117</v>
      </c>
      <c r="AL15" s="21" t="s">
        <v>117</v>
      </c>
      <c r="AM15" s="21" t="s">
        <v>117</v>
      </c>
      <c r="AN15" s="21" t="s">
        <v>117</v>
      </c>
    </row>
    <row r="16" spans="1:40" x14ac:dyDescent="0.25">
      <c r="A16" s="21" t="s">
        <v>90</v>
      </c>
      <c r="B16" s="21" t="s">
        <v>117</v>
      </c>
      <c r="C16" s="21" t="s">
        <v>117</v>
      </c>
      <c r="D16" s="21" t="s">
        <v>117</v>
      </c>
      <c r="E16" s="21" t="s">
        <v>117</v>
      </c>
      <c r="F16" s="21" t="s">
        <v>117</v>
      </c>
      <c r="G16" s="21" t="s">
        <v>117</v>
      </c>
      <c r="H16" s="21" t="s">
        <v>117</v>
      </c>
      <c r="I16" s="21" t="s">
        <v>117</v>
      </c>
      <c r="J16" s="21" t="s">
        <v>117</v>
      </c>
      <c r="K16" s="21" t="s">
        <v>117</v>
      </c>
      <c r="L16" s="21" t="s">
        <v>117</v>
      </c>
      <c r="M16" s="21" t="s">
        <v>117</v>
      </c>
      <c r="N16" s="21" t="s">
        <v>117</v>
      </c>
      <c r="O16" s="21" t="s">
        <v>117</v>
      </c>
      <c r="P16" s="21" t="s">
        <v>117</v>
      </c>
      <c r="Q16" s="21" t="s">
        <v>117</v>
      </c>
      <c r="R16" s="21" t="s">
        <v>117</v>
      </c>
      <c r="S16" s="21" t="s">
        <v>117</v>
      </c>
      <c r="T16" s="21" t="s">
        <v>117</v>
      </c>
      <c r="U16" s="21" t="s">
        <v>117</v>
      </c>
      <c r="V16" s="26">
        <v>136986301369863</v>
      </c>
      <c r="W16" s="21" t="s">
        <v>117</v>
      </c>
      <c r="X16" s="21" t="s">
        <v>117</v>
      </c>
      <c r="Y16" s="21" t="s">
        <v>117</v>
      </c>
      <c r="Z16" s="21" t="s">
        <v>117</v>
      </c>
      <c r="AA16" s="21" t="s">
        <v>117</v>
      </c>
      <c r="AB16" s="21" t="s">
        <v>117</v>
      </c>
      <c r="AC16" s="21" t="s">
        <v>117</v>
      </c>
      <c r="AD16" s="21" t="s">
        <v>117</v>
      </c>
      <c r="AE16" s="21" t="s">
        <v>117</v>
      </c>
      <c r="AF16" s="21" t="s">
        <v>117</v>
      </c>
      <c r="AG16" s="21" t="s">
        <v>117</v>
      </c>
      <c r="AH16" s="21" t="s">
        <v>117</v>
      </c>
      <c r="AI16" s="21" t="s">
        <v>117</v>
      </c>
      <c r="AJ16" s="21" t="s">
        <v>117</v>
      </c>
      <c r="AK16" s="21" t="s">
        <v>117</v>
      </c>
      <c r="AL16" s="21" t="s">
        <v>117</v>
      </c>
      <c r="AM16" s="21" t="s">
        <v>117</v>
      </c>
      <c r="AN16" s="21" t="s">
        <v>117</v>
      </c>
    </row>
    <row r="17" spans="1:40" x14ac:dyDescent="0.25">
      <c r="A17" s="21" t="s">
        <v>91</v>
      </c>
      <c r="B17" s="21" t="s">
        <v>117</v>
      </c>
      <c r="C17" s="21" t="s">
        <v>117</v>
      </c>
      <c r="D17" s="21" t="s">
        <v>117</v>
      </c>
      <c r="E17" s="21" t="s">
        <v>117</v>
      </c>
      <c r="F17" s="26">
        <v>136986301369863</v>
      </c>
      <c r="G17" s="26">
        <v>136986301369863</v>
      </c>
      <c r="H17" s="21" t="s">
        <v>117</v>
      </c>
      <c r="I17" s="26">
        <v>136986301369863</v>
      </c>
      <c r="J17" s="21" t="s">
        <v>117</v>
      </c>
      <c r="K17" s="21" t="s">
        <v>117</v>
      </c>
      <c r="L17" s="21" t="s">
        <v>117</v>
      </c>
      <c r="M17" s="26">
        <v>136986301369863</v>
      </c>
      <c r="N17" s="21" t="s">
        <v>117</v>
      </c>
      <c r="O17" s="21" t="s">
        <v>117</v>
      </c>
      <c r="P17" s="21" t="s">
        <v>117</v>
      </c>
      <c r="Q17" s="21" t="s">
        <v>117</v>
      </c>
      <c r="R17" s="21" t="s">
        <v>117</v>
      </c>
      <c r="S17" s="21" t="s">
        <v>117</v>
      </c>
      <c r="T17" s="21" t="s">
        <v>117</v>
      </c>
      <c r="U17" s="21" t="s">
        <v>117</v>
      </c>
      <c r="V17" s="21" t="s">
        <v>117</v>
      </c>
      <c r="W17" s="21" t="s">
        <v>117</v>
      </c>
      <c r="X17" s="21" t="s">
        <v>117</v>
      </c>
      <c r="Y17" s="21" t="s">
        <v>117</v>
      </c>
      <c r="Z17" s="21" t="s">
        <v>117</v>
      </c>
      <c r="AA17" s="21" t="s">
        <v>117</v>
      </c>
      <c r="AB17" s="21" t="s">
        <v>117</v>
      </c>
      <c r="AC17" s="21" t="s">
        <v>117</v>
      </c>
      <c r="AD17" s="21" t="s">
        <v>117</v>
      </c>
      <c r="AE17" s="21" t="s">
        <v>117</v>
      </c>
      <c r="AF17" s="21" t="s">
        <v>117</v>
      </c>
      <c r="AG17" s="21" t="s">
        <v>117</v>
      </c>
      <c r="AH17" s="21" t="s">
        <v>117</v>
      </c>
      <c r="AI17" s="21" t="s">
        <v>117</v>
      </c>
      <c r="AJ17" s="21" t="s">
        <v>117</v>
      </c>
      <c r="AK17" s="21" t="s">
        <v>117</v>
      </c>
      <c r="AL17" s="21" t="s">
        <v>117</v>
      </c>
      <c r="AM17" s="21" t="s">
        <v>117</v>
      </c>
      <c r="AN17" s="21" t="s">
        <v>117</v>
      </c>
    </row>
    <row r="18" spans="1:40" x14ac:dyDescent="0.25">
      <c r="A18" s="21" t="s">
        <v>92</v>
      </c>
      <c r="B18" s="21" t="s">
        <v>117</v>
      </c>
      <c r="C18" s="21" t="s">
        <v>117</v>
      </c>
      <c r="D18" s="21" t="s">
        <v>117</v>
      </c>
      <c r="E18" s="21" t="s">
        <v>117</v>
      </c>
      <c r="F18" s="21" t="s">
        <v>117</v>
      </c>
      <c r="G18" s="21" t="s">
        <v>117</v>
      </c>
      <c r="H18" s="21" t="s">
        <v>117</v>
      </c>
      <c r="I18" s="21" t="s">
        <v>117</v>
      </c>
      <c r="J18" s="21" t="s">
        <v>117</v>
      </c>
      <c r="K18" s="21" t="s">
        <v>117</v>
      </c>
      <c r="L18" s="21" t="s">
        <v>117</v>
      </c>
      <c r="M18" s="21" t="s">
        <v>117</v>
      </c>
      <c r="N18" s="21" t="s">
        <v>117</v>
      </c>
      <c r="O18" s="21" t="s">
        <v>117</v>
      </c>
      <c r="P18" s="21" t="s">
        <v>117</v>
      </c>
      <c r="Q18" s="21" t="s">
        <v>117</v>
      </c>
      <c r="R18" s="21" t="s">
        <v>117</v>
      </c>
      <c r="S18" s="26">
        <v>136986301369863</v>
      </c>
      <c r="T18" s="21" t="s">
        <v>117</v>
      </c>
      <c r="U18" s="21" t="s">
        <v>117</v>
      </c>
      <c r="V18" s="21" t="s">
        <v>117</v>
      </c>
      <c r="W18" s="21" t="s">
        <v>117</v>
      </c>
      <c r="X18" s="21" t="s">
        <v>117</v>
      </c>
      <c r="Y18" s="21" t="s">
        <v>117</v>
      </c>
      <c r="Z18" s="21" t="s">
        <v>117</v>
      </c>
      <c r="AA18" s="21" t="s">
        <v>117</v>
      </c>
      <c r="AB18" s="21" t="s">
        <v>117</v>
      </c>
      <c r="AC18" s="21" t="s">
        <v>117</v>
      </c>
      <c r="AD18" s="21" t="s">
        <v>117</v>
      </c>
      <c r="AE18" s="21" t="s">
        <v>117</v>
      </c>
      <c r="AF18" s="21" t="s">
        <v>117</v>
      </c>
      <c r="AG18" s="21" t="s">
        <v>117</v>
      </c>
      <c r="AH18" s="21" t="s">
        <v>117</v>
      </c>
      <c r="AI18" s="21" t="s">
        <v>117</v>
      </c>
      <c r="AJ18" s="21" t="s">
        <v>117</v>
      </c>
      <c r="AK18" s="21" t="s">
        <v>117</v>
      </c>
      <c r="AL18" s="21" t="s">
        <v>117</v>
      </c>
      <c r="AM18" s="21" t="s">
        <v>117</v>
      </c>
      <c r="AN18" s="21" t="s">
        <v>117</v>
      </c>
    </row>
    <row r="19" spans="1:40" x14ac:dyDescent="0.25">
      <c r="A19" s="21" t="s">
        <v>93</v>
      </c>
      <c r="B19" s="21" t="s">
        <v>117</v>
      </c>
      <c r="C19" s="21" t="s">
        <v>117</v>
      </c>
      <c r="D19" s="21" t="s">
        <v>117</v>
      </c>
      <c r="E19" s="21" t="s">
        <v>117</v>
      </c>
      <c r="F19" s="21" t="s">
        <v>117</v>
      </c>
      <c r="G19" s="21" t="s">
        <v>117</v>
      </c>
      <c r="H19" s="21" t="s">
        <v>117</v>
      </c>
      <c r="I19" s="21" t="s">
        <v>117</v>
      </c>
      <c r="J19" s="21" t="s">
        <v>117</v>
      </c>
      <c r="K19" s="21" t="s">
        <v>117</v>
      </c>
      <c r="L19" s="26">
        <v>136986301369863</v>
      </c>
      <c r="M19" s="21" t="s">
        <v>117</v>
      </c>
      <c r="N19" s="21" t="s">
        <v>117</v>
      </c>
      <c r="O19" s="26">
        <v>136986301369863</v>
      </c>
      <c r="P19" s="21" t="s">
        <v>117</v>
      </c>
      <c r="Q19" s="21" t="s">
        <v>117</v>
      </c>
      <c r="R19" s="21" t="s">
        <v>117</v>
      </c>
      <c r="S19" s="21" t="s">
        <v>117</v>
      </c>
      <c r="T19" s="21" t="s">
        <v>117</v>
      </c>
      <c r="U19" s="21" t="s">
        <v>117</v>
      </c>
      <c r="V19" s="21" t="s">
        <v>117</v>
      </c>
      <c r="W19" s="21" t="s">
        <v>117</v>
      </c>
      <c r="X19" s="21" t="s">
        <v>117</v>
      </c>
      <c r="Y19" s="21" t="s">
        <v>117</v>
      </c>
      <c r="Z19" s="21" t="s">
        <v>117</v>
      </c>
      <c r="AA19" s="21" t="s">
        <v>117</v>
      </c>
      <c r="AB19" s="21" t="s">
        <v>117</v>
      </c>
      <c r="AC19" s="21" t="s">
        <v>117</v>
      </c>
      <c r="AD19" s="21" t="s">
        <v>117</v>
      </c>
      <c r="AE19" s="21" t="s">
        <v>117</v>
      </c>
      <c r="AF19" s="21" t="s">
        <v>117</v>
      </c>
      <c r="AG19" s="21" t="s">
        <v>117</v>
      </c>
      <c r="AH19" s="21" t="s">
        <v>117</v>
      </c>
      <c r="AI19" s="21" t="s">
        <v>117</v>
      </c>
      <c r="AJ19" s="21" t="s">
        <v>117</v>
      </c>
      <c r="AK19" s="21" t="s">
        <v>117</v>
      </c>
      <c r="AL19" s="21" t="s">
        <v>117</v>
      </c>
      <c r="AM19" s="21" t="s">
        <v>117</v>
      </c>
      <c r="AN19" s="21" t="s">
        <v>117</v>
      </c>
    </row>
    <row r="20" spans="1:40" x14ac:dyDescent="0.25">
      <c r="A20" s="21" t="s">
        <v>94</v>
      </c>
      <c r="B20" s="21" t="s">
        <v>117</v>
      </c>
      <c r="C20" s="21" t="s">
        <v>117</v>
      </c>
      <c r="D20" s="21" t="s">
        <v>117</v>
      </c>
      <c r="E20" s="21" t="s">
        <v>117</v>
      </c>
      <c r="F20" s="21" t="s">
        <v>117</v>
      </c>
      <c r="G20" s="21" t="s">
        <v>117</v>
      </c>
      <c r="H20" s="21" t="s">
        <v>117</v>
      </c>
      <c r="I20" s="21" t="s">
        <v>117</v>
      </c>
      <c r="J20" s="21" t="s">
        <v>117</v>
      </c>
      <c r="K20" s="21" t="s">
        <v>117</v>
      </c>
      <c r="L20" s="21" t="s">
        <v>117</v>
      </c>
      <c r="M20" s="21" t="s">
        <v>117</v>
      </c>
      <c r="N20" s="21" t="s">
        <v>117</v>
      </c>
      <c r="O20" s="21" t="s">
        <v>117</v>
      </c>
      <c r="P20" s="21" t="s">
        <v>117</v>
      </c>
      <c r="Q20" s="21" t="s">
        <v>117</v>
      </c>
      <c r="R20" s="21" t="s">
        <v>117</v>
      </c>
      <c r="S20" s="21" t="s">
        <v>117</v>
      </c>
      <c r="T20" s="21" t="s">
        <v>117</v>
      </c>
      <c r="U20" s="21" t="s">
        <v>117</v>
      </c>
      <c r="V20" s="21" t="s">
        <v>117</v>
      </c>
      <c r="W20" s="21" t="s">
        <v>117</v>
      </c>
      <c r="X20" s="21" t="s">
        <v>117</v>
      </c>
      <c r="Y20" s="21" t="s">
        <v>117</v>
      </c>
      <c r="Z20" s="21" t="s">
        <v>117</v>
      </c>
      <c r="AA20" s="21" t="s">
        <v>117</v>
      </c>
      <c r="AB20" s="21" t="s">
        <v>117</v>
      </c>
      <c r="AC20" s="21" t="s">
        <v>117</v>
      </c>
      <c r="AD20" s="21" t="s">
        <v>117</v>
      </c>
      <c r="AE20" s="21" t="s">
        <v>117</v>
      </c>
      <c r="AF20" s="21" t="s">
        <v>117</v>
      </c>
      <c r="AG20" s="21" t="s">
        <v>117</v>
      </c>
      <c r="AH20" s="21" t="s">
        <v>117</v>
      </c>
      <c r="AI20" s="21" t="s">
        <v>117</v>
      </c>
      <c r="AJ20" s="21" t="s">
        <v>117</v>
      </c>
      <c r="AK20" s="21" t="s">
        <v>117</v>
      </c>
      <c r="AL20" s="21" t="s">
        <v>117</v>
      </c>
      <c r="AM20" s="21" t="s">
        <v>117</v>
      </c>
      <c r="AN20" s="21" t="s">
        <v>117</v>
      </c>
    </row>
    <row r="21" spans="1:40" x14ac:dyDescent="0.25">
      <c r="A21" s="21" t="s">
        <v>95</v>
      </c>
      <c r="B21" s="21" t="s">
        <v>117</v>
      </c>
      <c r="C21" s="25">
        <v>273972602739726</v>
      </c>
      <c r="D21" s="21" t="s">
        <v>117</v>
      </c>
      <c r="E21" s="21" t="s">
        <v>117</v>
      </c>
      <c r="F21" s="21" t="s">
        <v>117</v>
      </c>
      <c r="G21" s="21" t="s">
        <v>117</v>
      </c>
      <c r="H21" s="21" t="s">
        <v>117</v>
      </c>
      <c r="I21" s="21" t="s">
        <v>117</v>
      </c>
      <c r="J21" s="26">
        <v>136986301369863</v>
      </c>
      <c r="K21" s="21" t="s">
        <v>117</v>
      </c>
      <c r="L21" s="21" t="s">
        <v>117</v>
      </c>
      <c r="M21" s="21" t="s">
        <v>117</v>
      </c>
      <c r="N21" s="21" t="s">
        <v>117</v>
      </c>
      <c r="O21" s="21" t="s">
        <v>117</v>
      </c>
      <c r="P21" s="21" t="s">
        <v>117</v>
      </c>
      <c r="Q21" s="21" t="s">
        <v>117</v>
      </c>
      <c r="R21" s="21" t="s">
        <v>117</v>
      </c>
      <c r="S21" s="21" t="s">
        <v>117</v>
      </c>
      <c r="T21" s="21" t="s">
        <v>117</v>
      </c>
      <c r="U21" s="21" t="s">
        <v>117</v>
      </c>
      <c r="V21" s="21" t="s">
        <v>117</v>
      </c>
      <c r="W21" s="21" t="s">
        <v>117</v>
      </c>
      <c r="X21" s="21" t="s">
        <v>117</v>
      </c>
      <c r="Y21" s="21" t="s">
        <v>117</v>
      </c>
      <c r="Z21" s="21" t="s">
        <v>117</v>
      </c>
      <c r="AA21" s="21" t="s">
        <v>117</v>
      </c>
      <c r="AB21" s="21" t="s">
        <v>117</v>
      </c>
      <c r="AC21" s="21" t="s">
        <v>117</v>
      </c>
      <c r="AD21" s="21" t="s">
        <v>117</v>
      </c>
      <c r="AE21" s="21" t="s">
        <v>117</v>
      </c>
      <c r="AF21" s="21" t="s">
        <v>117</v>
      </c>
      <c r="AG21" s="21" t="s">
        <v>117</v>
      </c>
      <c r="AH21" s="21" t="s">
        <v>117</v>
      </c>
      <c r="AI21" s="21" t="s">
        <v>117</v>
      </c>
      <c r="AJ21" s="21" t="s">
        <v>117</v>
      </c>
      <c r="AK21" s="21" t="s">
        <v>117</v>
      </c>
      <c r="AL21" s="21" t="s">
        <v>117</v>
      </c>
      <c r="AM21" s="21" t="s">
        <v>117</v>
      </c>
      <c r="AN21" s="21" t="s">
        <v>117</v>
      </c>
    </row>
    <row r="22" spans="1:40" x14ac:dyDescent="0.25">
      <c r="A22" s="21" t="s">
        <v>96</v>
      </c>
      <c r="B22" s="21" t="s">
        <v>117</v>
      </c>
      <c r="C22" s="21" t="s">
        <v>117</v>
      </c>
      <c r="D22" s="21" t="s">
        <v>117</v>
      </c>
      <c r="E22" s="21" t="s">
        <v>117</v>
      </c>
      <c r="F22" s="21" t="s">
        <v>117</v>
      </c>
      <c r="G22" s="26">
        <v>136986301369863</v>
      </c>
      <c r="H22" s="21" t="s">
        <v>117</v>
      </c>
      <c r="I22" s="21" t="s">
        <v>117</v>
      </c>
      <c r="J22" s="21" t="s">
        <v>117</v>
      </c>
      <c r="K22" s="21" t="s">
        <v>117</v>
      </c>
      <c r="L22" s="21" t="s">
        <v>117</v>
      </c>
      <c r="M22" s="21" t="s">
        <v>117</v>
      </c>
      <c r="N22" s="26">
        <v>136986301369863</v>
      </c>
      <c r="O22" s="21" t="s">
        <v>117</v>
      </c>
      <c r="P22" s="21" t="s">
        <v>117</v>
      </c>
      <c r="Q22" s="21" t="s">
        <v>117</v>
      </c>
      <c r="R22" s="21" t="s">
        <v>117</v>
      </c>
      <c r="S22" s="21" t="s">
        <v>117</v>
      </c>
      <c r="T22" s="21" t="s">
        <v>117</v>
      </c>
      <c r="U22" s="21" t="s">
        <v>117</v>
      </c>
      <c r="V22" s="21" t="s">
        <v>117</v>
      </c>
      <c r="W22" s="21" t="s">
        <v>117</v>
      </c>
      <c r="X22" s="21" t="s">
        <v>117</v>
      </c>
      <c r="Y22" s="21" t="s">
        <v>117</v>
      </c>
      <c r="Z22" s="21" t="s">
        <v>117</v>
      </c>
      <c r="AA22" s="21" t="s">
        <v>117</v>
      </c>
      <c r="AB22" s="21" t="s">
        <v>117</v>
      </c>
      <c r="AC22" s="21" t="s">
        <v>117</v>
      </c>
      <c r="AD22" s="21" t="s">
        <v>117</v>
      </c>
      <c r="AE22" s="21" t="s">
        <v>117</v>
      </c>
      <c r="AF22" s="21" t="s">
        <v>117</v>
      </c>
      <c r="AG22" s="21" t="s">
        <v>117</v>
      </c>
      <c r="AH22" s="21" t="s">
        <v>117</v>
      </c>
      <c r="AI22" s="21" t="s">
        <v>117</v>
      </c>
      <c r="AJ22" s="21" t="s">
        <v>117</v>
      </c>
      <c r="AK22" s="21" t="s">
        <v>117</v>
      </c>
      <c r="AL22" s="21" t="s">
        <v>117</v>
      </c>
      <c r="AM22" s="21" t="s">
        <v>117</v>
      </c>
      <c r="AN22" s="21" t="s">
        <v>117</v>
      </c>
    </row>
    <row r="23" spans="1:40" x14ac:dyDescent="0.25">
      <c r="A23" s="21" t="s">
        <v>97</v>
      </c>
      <c r="B23" s="21" t="s">
        <v>117</v>
      </c>
      <c r="C23" s="21" t="s">
        <v>117</v>
      </c>
      <c r="D23" s="21" t="s">
        <v>117</v>
      </c>
      <c r="E23" s="21" t="s">
        <v>117</v>
      </c>
      <c r="F23" s="26">
        <v>136986301369863</v>
      </c>
      <c r="G23" s="21" t="s">
        <v>117</v>
      </c>
      <c r="H23" s="21" t="s">
        <v>117</v>
      </c>
      <c r="I23" s="21" t="s">
        <v>117</v>
      </c>
      <c r="J23" s="21" t="s">
        <v>117</v>
      </c>
      <c r="K23" s="21" t="s">
        <v>117</v>
      </c>
      <c r="L23" s="21" t="s">
        <v>117</v>
      </c>
      <c r="M23" s="21" t="s">
        <v>117</v>
      </c>
      <c r="N23" s="21" t="s">
        <v>117</v>
      </c>
      <c r="O23" s="21" t="s">
        <v>117</v>
      </c>
      <c r="P23" s="21" t="s">
        <v>117</v>
      </c>
      <c r="Q23" s="21" t="s">
        <v>117</v>
      </c>
      <c r="R23" s="21" t="s">
        <v>117</v>
      </c>
      <c r="S23" s="21" t="s">
        <v>117</v>
      </c>
      <c r="T23" s="21" t="s">
        <v>117</v>
      </c>
      <c r="U23" s="21" t="s">
        <v>117</v>
      </c>
      <c r="V23" s="21" t="s">
        <v>117</v>
      </c>
      <c r="W23" s="21" t="s">
        <v>117</v>
      </c>
      <c r="X23" s="21" t="s">
        <v>117</v>
      </c>
      <c r="Y23" s="21" t="s">
        <v>117</v>
      </c>
      <c r="Z23" s="21" t="s">
        <v>117</v>
      </c>
      <c r="AA23" s="21" t="s">
        <v>117</v>
      </c>
      <c r="AB23" s="21" t="s">
        <v>117</v>
      </c>
      <c r="AC23" s="21" t="s">
        <v>117</v>
      </c>
      <c r="AD23" s="21" t="s">
        <v>117</v>
      </c>
      <c r="AE23" s="21" t="s">
        <v>117</v>
      </c>
      <c r="AF23" s="21" t="s">
        <v>117</v>
      </c>
      <c r="AG23" s="21" t="s">
        <v>117</v>
      </c>
      <c r="AH23" s="21" t="s">
        <v>117</v>
      </c>
      <c r="AI23" s="21" t="s">
        <v>117</v>
      </c>
      <c r="AJ23" s="21" t="s">
        <v>117</v>
      </c>
      <c r="AK23" s="21" t="s">
        <v>117</v>
      </c>
      <c r="AL23" s="21" t="s">
        <v>117</v>
      </c>
      <c r="AM23" s="21" t="s">
        <v>117</v>
      </c>
      <c r="AN23" s="21" t="s">
        <v>117</v>
      </c>
    </row>
    <row r="24" spans="1:40" x14ac:dyDescent="0.25">
      <c r="A24" s="21" t="s">
        <v>98</v>
      </c>
      <c r="B24" s="21" t="s">
        <v>117</v>
      </c>
      <c r="C24" s="21" t="s">
        <v>117</v>
      </c>
      <c r="D24" s="21" t="s">
        <v>117</v>
      </c>
      <c r="E24" s="21" t="s">
        <v>117</v>
      </c>
      <c r="F24" s="21" t="s">
        <v>117</v>
      </c>
      <c r="G24" s="21" t="s">
        <v>117</v>
      </c>
      <c r="H24" s="21" t="s">
        <v>117</v>
      </c>
      <c r="I24" s="21" t="s">
        <v>117</v>
      </c>
      <c r="J24" s="21" t="s">
        <v>117</v>
      </c>
      <c r="K24" s="21" t="s">
        <v>117</v>
      </c>
      <c r="L24" s="21" t="s">
        <v>117</v>
      </c>
      <c r="M24" s="21" t="s">
        <v>117</v>
      </c>
      <c r="N24" s="21" t="s">
        <v>117</v>
      </c>
      <c r="O24" s="21" t="s">
        <v>117</v>
      </c>
      <c r="P24" s="21" t="s">
        <v>117</v>
      </c>
      <c r="Q24" s="21" t="s">
        <v>117</v>
      </c>
      <c r="R24" s="21" t="s">
        <v>117</v>
      </c>
      <c r="S24" s="21" t="s">
        <v>117</v>
      </c>
      <c r="T24" s="21" t="s">
        <v>117</v>
      </c>
      <c r="U24" s="21" t="s">
        <v>117</v>
      </c>
      <c r="V24" s="21" t="s">
        <v>117</v>
      </c>
      <c r="W24" s="21" t="s">
        <v>117</v>
      </c>
      <c r="X24" s="21" t="s">
        <v>117</v>
      </c>
      <c r="Y24" s="21" t="s">
        <v>117</v>
      </c>
      <c r="Z24" s="27">
        <v>410958904109589</v>
      </c>
      <c r="AA24" s="21" t="s">
        <v>117</v>
      </c>
      <c r="AB24" s="21" t="s">
        <v>117</v>
      </c>
      <c r="AC24" s="21" t="s">
        <v>117</v>
      </c>
      <c r="AD24" s="21" t="s">
        <v>117</v>
      </c>
      <c r="AE24" s="21" t="s">
        <v>117</v>
      </c>
      <c r="AF24" s="21" t="s">
        <v>117</v>
      </c>
      <c r="AG24" s="21" t="s">
        <v>117</v>
      </c>
      <c r="AH24" s="21" t="s">
        <v>117</v>
      </c>
      <c r="AI24" s="21" t="s">
        <v>117</v>
      </c>
      <c r="AJ24" s="21" t="s">
        <v>117</v>
      </c>
      <c r="AK24" s="21" t="s">
        <v>117</v>
      </c>
      <c r="AL24" s="21" t="s">
        <v>117</v>
      </c>
      <c r="AM24" s="21" t="s">
        <v>117</v>
      </c>
      <c r="AN24" s="21" t="s">
        <v>117</v>
      </c>
    </row>
    <row r="25" spans="1:40" x14ac:dyDescent="0.25">
      <c r="A25" s="21" t="s">
        <v>99</v>
      </c>
      <c r="B25" s="21" t="s">
        <v>117</v>
      </c>
      <c r="C25" s="21" t="s">
        <v>117</v>
      </c>
      <c r="D25" s="21" t="s">
        <v>117</v>
      </c>
      <c r="E25" s="21" t="s">
        <v>117</v>
      </c>
      <c r="F25" s="21" t="s">
        <v>117</v>
      </c>
      <c r="G25" s="21" t="s">
        <v>117</v>
      </c>
      <c r="H25" s="21" t="s">
        <v>117</v>
      </c>
      <c r="I25" s="21" t="s">
        <v>117</v>
      </c>
      <c r="J25" s="21" t="s">
        <v>117</v>
      </c>
      <c r="K25" s="21" t="s">
        <v>117</v>
      </c>
      <c r="L25" s="21" t="s">
        <v>117</v>
      </c>
      <c r="M25" s="21" t="s">
        <v>117</v>
      </c>
      <c r="N25" s="21" t="s">
        <v>117</v>
      </c>
      <c r="O25" s="21" t="s">
        <v>117</v>
      </c>
      <c r="P25" s="26">
        <v>136986301369863</v>
      </c>
      <c r="Q25" s="21" t="s">
        <v>117</v>
      </c>
      <c r="R25" s="21" t="s">
        <v>117</v>
      </c>
      <c r="S25" s="21" t="s">
        <v>117</v>
      </c>
      <c r="T25" s="21" t="s">
        <v>117</v>
      </c>
      <c r="U25" s="21" t="s">
        <v>117</v>
      </c>
      <c r="V25" s="21" t="s">
        <v>117</v>
      </c>
      <c r="W25" s="21" t="s">
        <v>117</v>
      </c>
      <c r="X25" s="25">
        <v>273972602739726</v>
      </c>
      <c r="Y25" s="21" t="s">
        <v>117</v>
      </c>
      <c r="Z25" s="21" t="s">
        <v>117</v>
      </c>
      <c r="AA25" s="21" t="s">
        <v>117</v>
      </c>
      <c r="AB25" s="21" t="s">
        <v>117</v>
      </c>
      <c r="AC25" s="21" t="s">
        <v>117</v>
      </c>
      <c r="AD25" s="21" t="s">
        <v>117</v>
      </c>
      <c r="AE25" s="21" t="s">
        <v>117</v>
      </c>
      <c r="AF25" s="21" t="s">
        <v>117</v>
      </c>
      <c r="AG25" s="21" t="s">
        <v>117</v>
      </c>
      <c r="AH25" s="21" t="s">
        <v>117</v>
      </c>
      <c r="AI25" s="21" t="s">
        <v>117</v>
      </c>
      <c r="AJ25" s="21" t="s">
        <v>117</v>
      </c>
      <c r="AK25" s="26">
        <v>136986301369863</v>
      </c>
      <c r="AL25" s="21" t="s">
        <v>117</v>
      </c>
      <c r="AM25" s="21" t="s">
        <v>117</v>
      </c>
      <c r="AN25" s="21" t="s">
        <v>117</v>
      </c>
    </row>
    <row r="26" spans="1:40" x14ac:dyDescent="0.25">
      <c r="A26" s="21" t="s">
        <v>100</v>
      </c>
      <c r="B26" s="21" t="s">
        <v>117</v>
      </c>
      <c r="C26" s="21" t="s">
        <v>117</v>
      </c>
      <c r="D26" s="21" t="s">
        <v>117</v>
      </c>
      <c r="E26" s="21" t="s">
        <v>117</v>
      </c>
      <c r="F26" s="21" t="s">
        <v>117</v>
      </c>
      <c r="G26" s="21" t="s">
        <v>117</v>
      </c>
      <c r="H26" s="21" t="s">
        <v>117</v>
      </c>
      <c r="I26" s="21" t="s">
        <v>117</v>
      </c>
      <c r="J26" s="21" t="s">
        <v>117</v>
      </c>
      <c r="K26" s="21" t="s">
        <v>117</v>
      </c>
      <c r="L26" s="21" t="s">
        <v>117</v>
      </c>
      <c r="M26" s="21" t="s">
        <v>117</v>
      </c>
      <c r="N26" s="21" t="s">
        <v>117</v>
      </c>
      <c r="O26" s="21" t="s">
        <v>117</v>
      </c>
      <c r="P26" s="21" t="s">
        <v>117</v>
      </c>
      <c r="Q26" s="21" t="s">
        <v>117</v>
      </c>
      <c r="R26" s="21" t="s">
        <v>117</v>
      </c>
      <c r="S26" s="21" t="s">
        <v>117</v>
      </c>
      <c r="T26" s="26">
        <v>136986301369863</v>
      </c>
      <c r="U26" s="21" t="s">
        <v>117</v>
      </c>
      <c r="V26" s="21" t="s">
        <v>117</v>
      </c>
      <c r="W26" s="21" t="s">
        <v>117</v>
      </c>
      <c r="X26" s="21" t="s">
        <v>117</v>
      </c>
      <c r="Y26" s="21" t="s">
        <v>117</v>
      </c>
      <c r="Z26" s="21" t="s">
        <v>117</v>
      </c>
      <c r="AA26" s="21" t="s">
        <v>117</v>
      </c>
      <c r="AB26" s="25">
        <v>273972602739726</v>
      </c>
      <c r="AC26" s="21" t="s">
        <v>117</v>
      </c>
      <c r="AD26" s="21" t="s">
        <v>117</v>
      </c>
      <c r="AE26" s="21" t="s">
        <v>117</v>
      </c>
      <c r="AF26" s="21" t="s">
        <v>117</v>
      </c>
      <c r="AG26" s="21" t="s">
        <v>117</v>
      </c>
      <c r="AH26" s="21" t="s">
        <v>117</v>
      </c>
      <c r="AI26" s="21" t="s">
        <v>117</v>
      </c>
      <c r="AJ26" s="21" t="s">
        <v>117</v>
      </c>
      <c r="AK26" s="21" t="s">
        <v>117</v>
      </c>
      <c r="AL26" s="21" t="s">
        <v>117</v>
      </c>
      <c r="AM26" s="21" t="s">
        <v>117</v>
      </c>
      <c r="AN26" s="21" t="s">
        <v>117</v>
      </c>
    </row>
    <row r="27" spans="1:40" x14ac:dyDescent="0.25">
      <c r="A27" s="21" t="s">
        <v>101</v>
      </c>
      <c r="B27" s="21" t="s">
        <v>117</v>
      </c>
      <c r="C27" s="21" t="s">
        <v>117</v>
      </c>
      <c r="D27" s="21" t="s">
        <v>117</v>
      </c>
      <c r="E27" s="21" t="s">
        <v>117</v>
      </c>
      <c r="F27" s="21" t="s">
        <v>117</v>
      </c>
      <c r="G27" s="21" t="s">
        <v>117</v>
      </c>
      <c r="H27" s="21" t="s">
        <v>117</v>
      </c>
      <c r="I27" s="26">
        <v>136986301369863</v>
      </c>
      <c r="J27" s="21" t="s">
        <v>117</v>
      </c>
      <c r="K27" s="21" t="s">
        <v>117</v>
      </c>
      <c r="L27" s="21" t="s">
        <v>117</v>
      </c>
      <c r="M27" s="21" t="s">
        <v>117</v>
      </c>
      <c r="N27" s="21" t="s">
        <v>117</v>
      </c>
      <c r="O27" s="21" t="s">
        <v>117</v>
      </c>
      <c r="P27" s="21" t="s">
        <v>117</v>
      </c>
      <c r="Q27" s="21" t="s">
        <v>117</v>
      </c>
      <c r="R27" s="21" t="s">
        <v>117</v>
      </c>
      <c r="S27" s="21" t="s">
        <v>117</v>
      </c>
      <c r="T27" s="21" t="s">
        <v>117</v>
      </c>
      <c r="U27" s="21" t="s">
        <v>117</v>
      </c>
      <c r="V27" s="21" t="s">
        <v>117</v>
      </c>
      <c r="W27" s="21" t="s">
        <v>117</v>
      </c>
      <c r="X27" s="21" t="s">
        <v>117</v>
      </c>
      <c r="Y27" s="21" t="s">
        <v>117</v>
      </c>
      <c r="Z27" s="21" t="s">
        <v>117</v>
      </c>
      <c r="AA27" s="21" t="s">
        <v>117</v>
      </c>
      <c r="AB27" s="21" t="s">
        <v>117</v>
      </c>
      <c r="AC27" s="21" t="s">
        <v>117</v>
      </c>
      <c r="AD27" s="21" t="s">
        <v>117</v>
      </c>
      <c r="AE27" s="21" t="s">
        <v>117</v>
      </c>
      <c r="AF27" s="21" t="s">
        <v>117</v>
      </c>
      <c r="AG27" s="21" t="s">
        <v>117</v>
      </c>
      <c r="AH27" s="21" t="s">
        <v>117</v>
      </c>
      <c r="AI27" s="21" t="s">
        <v>117</v>
      </c>
      <c r="AJ27" s="21" t="s">
        <v>117</v>
      </c>
      <c r="AK27" s="21" t="s">
        <v>117</v>
      </c>
      <c r="AL27" s="21" t="s">
        <v>117</v>
      </c>
      <c r="AM27" s="21" t="s">
        <v>117</v>
      </c>
      <c r="AN27" s="21" t="s">
        <v>117</v>
      </c>
    </row>
    <row r="28" spans="1:40" x14ac:dyDescent="0.25">
      <c r="A28" s="21" t="s">
        <v>102</v>
      </c>
      <c r="B28" s="21" t="s">
        <v>117</v>
      </c>
      <c r="C28" s="21" t="s">
        <v>117</v>
      </c>
      <c r="D28" s="21" t="s">
        <v>117</v>
      </c>
      <c r="E28" s="21" t="s">
        <v>117</v>
      </c>
      <c r="F28" s="21" t="s">
        <v>117</v>
      </c>
      <c r="G28" s="21" t="s">
        <v>117</v>
      </c>
      <c r="H28" s="21" t="s">
        <v>117</v>
      </c>
      <c r="I28" s="21" t="s">
        <v>117</v>
      </c>
      <c r="J28" s="21" t="s">
        <v>117</v>
      </c>
      <c r="K28" s="21" t="s">
        <v>117</v>
      </c>
      <c r="L28" s="21" t="s">
        <v>117</v>
      </c>
      <c r="M28" s="21" t="s">
        <v>117</v>
      </c>
      <c r="N28" s="21" t="s">
        <v>117</v>
      </c>
      <c r="O28" s="21" t="s">
        <v>117</v>
      </c>
      <c r="P28" s="21" t="s">
        <v>117</v>
      </c>
      <c r="Q28" s="21" t="s">
        <v>117</v>
      </c>
      <c r="R28" s="21" t="s">
        <v>117</v>
      </c>
      <c r="S28" s="21" t="s">
        <v>117</v>
      </c>
      <c r="T28" s="21" t="s">
        <v>117</v>
      </c>
      <c r="U28" s="21" t="s">
        <v>117</v>
      </c>
      <c r="V28" s="21" t="s">
        <v>117</v>
      </c>
      <c r="W28" s="21" t="s">
        <v>117</v>
      </c>
      <c r="X28" s="21" t="s">
        <v>117</v>
      </c>
      <c r="Y28" s="21" t="s">
        <v>117</v>
      </c>
      <c r="Z28" s="21" t="s">
        <v>117</v>
      </c>
      <c r="AA28" s="21" t="s">
        <v>117</v>
      </c>
      <c r="AB28" s="21" t="s">
        <v>117</v>
      </c>
      <c r="AC28" s="21" t="s">
        <v>117</v>
      </c>
      <c r="AD28" s="21" t="s">
        <v>117</v>
      </c>
      <c r="AE28" s="21" t="s">
        <v>117</v>
      </c>
      <c r="AF28" s="21" t="s">
        <v>117</v>
      </c>
      <c r="AG28" s="21" t="s">
        <v>117</v>
      </c>
      <c r="AH28" s="21" t="s">
        <v>117</v>
      </c>
      <c r="AI28" s="21" t="s">
        <v>117</v>
      </c>
      <c r="AJ28" s="21" t="s">
        <v>117</v>
      </c>
      <c r="AK28" s="21" t="s">
        <v>117</v>
      </c>
      <c r="AL28" s="21" t="s">
        <v>117</v>
      </c>
      <c r="AM28" s="21" t="s">
        <v>117</v>
      </c>
      <c r="AN28" s="21" t="s">
        <v>117</v>
      </c>
    </row>
    <row r="29" spans="1:40" x14ac:dyDescent="0.25">
      <c r="A29" s="21" t="s">
        <v>103</v>
      </c>
      <c r="B29" s="21" t="s">
        <v>117</v>
      </c>
      <c r="C29" s="21" t="s">
        <v>117</v>
      </c>
      <c r="D29" s="21" t="s">
        <v>117</v>
      </c>
      <c r="E29" s="21" t="s">
        <v>117</v>
      </c>
      <c r="F29" s="26">
        <v>136986301369863</v>
      </c>
      <c r="G29" s="21" t="s">
        <v>117</v>
      </c>
      <c r="H29" s="21" t="s">
        <v>117</v>
      </c>
      <c r="I29" s="21" t="s">
        <v>117</v>
      </c>
      <c r="J29" s="21" t="s">
        <v>117</v>
      </c>
      <c r="K29" s="21" t="s">
        <v>117</v>
      </c>
      <c r="L29" s="21" t="s">
        <v>117</v>
      </c>
      <c r="M29" s="21" t="s">
        <v>117</v>
      </c>
      <c r="N29" s="21" t="s">
        <v>117</v>
      </c>
      <c r="O29" s="21" t="s">
        <v>117</v>
      </c>
      <c r="P29" s="21" t="s">
        <v>117</v>
      </c>
      <c r="Q29" s="21" t="s">
        <v>117</v>
      </c>
      <c r="R29" s="21" t="s">
        <v>117</v>
      </c>
      <c r="S29" s="21" t="s">
        <v>117</v>
      </c>
      <c r="T29" s="21" t="s">
        <v>117</v>
      </c>
      <c r="U29" s="21" t="s">
        <v>117</v>
      </c>
      <c r="V29" s="21" t="s">
        <v>117</v>
      </c>
      <c r="W29" s="21" t="s">
        <v>117</v>
      </c>
      <c r="X29" s="21" t="s">
        <v>117</v>
      </c>
      <c r="Y29" s="21" t="s">
        <v>117</v>
      </c>
      <c r="Z29" s="21" t="s">
        <v>117</v>
      </c>
      <c r="AA29" s="21" t="s">
        <v>117</v>
      </c>
      <c r="AB29" s="21" t="s">
        <v>117</v>
      </c>
      <c r="AC29" s="21" t="s">
        <v>117</v>
      </c>
      <c r="AD29" s="21" t="s">
        <v>117</v>
      </c>
      <c r="AE29" s="21" t="s">
        <v>117</v>
      </c>
      <c r="AF29" s="21" t="s">
        <v>117</v>
      </c>
      <c r="AG29" s="21" t="s">
        <v>117</v>
      </c>
      <c r="AH29" s="21" t="s">
        <v>117</v>
      </c>
      <c r="AI29" s="21" t="s">
        <v>117</v>
      </c>
      <c r="AJ29" s="21" t="s">
        <v>117</v>
      </c>
      <c r="AK29" s="21" t="s">
        <v>117</v>
      </c>
      <c r="AL29" s="21" t="s">
        <v>117</v>
      </c>
      <c r="AM29" s="21" t="s">
        <v>117</v>
      </c>
      <c r="AN29" s="21" t="s">
        <v>117</v>
      </c>
    </row>
    <row r="30" spans="1:40" x14ac:dyDescent="0.25">
      <c r="A30" s="21" t="s">
        <v>104</v>
      </c>
      <c r="B30" s="21" t="s">
        <v>117</v>
      </c>
      <c r="C30" s="21" t="s">
        <v>117</v>
      </c>
      <c r="D30" s="21" t="s">
        <v>117</v>
      </c>
      <c r="E30" s="21" t="s">
        <v>117</v>
      </c>
      <c r="F30" s="21" t="s">
        <v>117</v>
      </c>
      <c r="G30" s="21" t="s">
        <v>117</v>
      </c>
      <c r="H30" s="21" t="s">
        <v>117</v>
      </c>
      <c r="I30" s="21" t="s">
        <v>117</v>
      </c>
      <c r="J30" s="21" t="s">
        <v>117</v>
      </c>
      <c r="K30" s="21" t="s">
        <v>117</v>
      </c>
      <c r="L30" s="21" t="s">
        <v>117</v>
      </c>
      <c r="M30" s="21" t="s">
        <v>117</v>
      </c>
      <c r="N30" s="21" t="s">
        <v>117</v>
      </c>
      <c r="O30" s="21" t="s">
        <v>117</v>
      </c>
      <c r="P30" s="21" t="s">
        <v>117</v>
      </c>
      <c r="Q30" s="21" t="s">
        <v>117</v>
      </c>
      <c r="R30" s="21" t="s">
        <v>117</v>
      </c>
      <c r="S30" s="21" t="s">
        <v>117</v>
      </c>
      <c r="T30" s="21" t="s">
        <v>117</v>
      </c>
      <c r="U30" s="21" t="s">
        <v>117</v>
      </c>
      <c r="V30" s="21" t="s">
        <v>117</v>
      </c>
      <c r="W30" s="21" t="s">
        <v>117</v>
      </c>
      <c r="X30" s="21" t="s">
        <v>117</v>
      </c>
      <c r="Y30" s="21" t="s">
        <v>117</v>
      </c>
      <c r="Z30" s="26">
        <v>136986301369863</v>
      </c>
      <c r="AA30" s="21" t="s">
        <v>117</v>
      </c>
      <c r="AB30" s="21" t="s">
        <v>117</v>
      </c>
      <c r="AC30" s="21" t="s">
        <v>117</v>
      </c>
      <c r="AD30" s="21" t="s">
        <v>117</v>
      </c>
      <c r="AE30" s="21" t="s">
        <v>117</v>
      </c>
      <c r="AF30" s="21" t="s">
        <v>117</v>
      </c>
      <c r="AG30" s="21" t="s">
        <v>117</v>
      </c>
      <c r="AH30" s="21" t="s">
        <v>117</v>
      </c>
      <c r="AI30" s="21" t="s">
        <v>117</v>
      </c>
      <c r="AJ30" s="21" t="s">
        <v>117</v>
      </c>
      <c r="AK30" s="21" t="s">
        <v>117</v>
      </c>
      <c r="AL30" s="21" t="s">
        <v>117</v>
      </c>
      <c r="AM30" s="21" t="s">
        <v>117</v>
      </c>
      <c r="AN30" s="21" t="s">
        <v>117</v>
      </c>
    </row>
    <row r="31" spans="1:40" x14ac:dyDescent="0.25">
      <c r="A31" s="21" t="s">
        <v>105</v>
      </c>
      <c r="B31" s="21" t="s">
        <v>117</v>
      </c>
      <c r="C31" s="21" t="s">
        <v>117</v>
      </c>
      <c r="D31" s="21" t="s">
        <v>117</v>
      </c>
      <c r="E31" s="21" t="s">
        <v>117</v>
      </c>
      <c r="F31" s="21" t="s">
        <v>117</v>
      </c>
      <c r="G31" s="21" t="s">
        <v>117</v>
      </c>
      <c r="H31" s="21" t="s">
        <v>117</v>
      </c>
      <c r="I31" s="21" t="s">
        <v>117</v>
      </c>
      <c r="J31" s="21" t="s">
        <v>117</v>
      </c>
      <c r="K31" s="21" t="s">
        <v>117</v>
      </c>
      <c r="L31" s="21" t="s">
        <v>117</v>
      </c>
      <c r="M31" s="21" t="s">
        <v>117</v>
      </c>
      <c r="N31" s="21" t="s">
        <v>117</v>
      </c>
      <c r="O31" s="21" t="s">
        <v>117</v>
      </c>
      <c r="P31" s="21" t="s">
        <v>117</v>
      </c>
      <c r="Q31" s="21" t="s">
        <v>117</v>
      </c>
      <c r="R31" s="21" t="s">
        <v>117</v>
      </c>
      <c r="S31" s="21" t="s">
        <v>117</v>
      </c>
      <c r="T31" s="21" t="s">
        <v>117</v>
      </c>
      <c r="U31" s="21" t="s">
        <v>117</v>
      </c>
      <c r="V31" s="21" t="s">
        <v>117</v>
      </c>
      <c r="W31" s="21" t="s">
        <v>117</v>
      </c>
      <c r="X31" s="21" t="s">
        <v>117</v>
      </c>
      <c r="Y31" s="26">
        <v>136986301369863</v>
      </c>
      <c r="Z31" s="21" t="s">
        <v>117</v>
      </c>
      <c r="AA31" s="21" t="s">
        <v>117</v>
      </c>
      <c r="AB31" s="21" t="s">
        <v>117</v>
      </c>
      <c r="AC31" s="21" t="s">
        <v>117</v>
      </c>
      <c r="AD31" s="21" t="s">
        <v>117</v>
      </c>
      <c r="AE31" s="21" t="s">
        <v>117</v>
      </c>
      <c r="AF31" s="21" t="s">
        <v>117</v>
      </c>
      <c r="AG31" s="21" t="s">
        <v>117</v>
      </c>
      <c r="AH31" s="21" t="s">
        <v>117</v>
      </c>
      <c r="AI31" s="21" t="s">
        <v>117</v>
      </c>
      <c r="AJ31" s="21" t="s">
        <v>117</v>
      </c>
      <c r="AK31" s="21" t="s">
        <v>117</v>
      </c>
      <c r="AL31" s="21" t="s">
        <v>117</v>
      </c>
      <c r="AM31" s="21" t="s">
        <v>117</v>
      </c>
      <c r="AN31" s="21" t="s">
        <v>117</v>
      </c>
    </row>
    <row r="32" spans="1:40" x14ac:dyDescent="0.25">
      <c r="A32" s="21" t="s">
        <v>106</v>
      </c>
      <c r="B32" s="21" t="s">
        <v>117</v>
      </c>
      <c r="C32" s="21" t="s">
        <v>117</v>
      </c>
      <c r="D32" s="21" t="s">
        <v>117</v>
      </c>
      <c r="E32" s="21" t="s">
        <v>117</v>
      </c>
      <c r="F32" s="21" t="s">
        <v>117</v>
      </c>
      <c r="G32" s="21" t="s">
        <v>117</v>
      </c>
      <c r="H32" s="21" t="s">
        <v>117</v>
      </c>
      <c r="I32" s="21" t="s">
        <v>117</v>
      </c>
      <c r="J32" s="21" t="s">
        <v>117</v>
      </c>
      <c r="K32" s="21" t="s">
        <v>117</v>
      </c>
      <c r="L32" s="21" t="s">
        <v>117</v>
      </c>
      <c r="M32" s="21" t="s">
        <v>117</v>
      </c>
      <c r="N32" s="21" t="s">
        <v>117</v>
      </c>
      <c r="O32" s="21" t="s">
        <v>117</v>
      </c>
      <c r="P32" s="21" t="s">
        <v>117</v>
      </c>
      <c r="Q32" s="21" t="s">
        <v>117</v>
      </c>
      <c r="R32" s="21" t="s">
        <v>117</v>
      </c>
      <c r="S32" s="21" t="s">
        <v>117</v>
      </c>
      <c r="T32" s="21" t="s">
        <v>117</v>
      </c>
      <c r="U32" s="21" t="s">
        <v>117</v>
      </c>
      <c r="V32" s="21" t="s">
        <v>117</v>
      </c>
      <c r="W32" s="21" t="s">
        <v>117</v>
      </c>
      <c r="X32" s="21" t="s">
        <v>117</v>
      </c>
      <c r="Y32" s="21" t="s">
        <v>117</v>
      </c>
      <c r="Z32" s="21" t="s">
        <v>117</v>
      </c>
      <c r="AA32" s="21" t="s">
        <v>117</v>
      </c>
      <c r="AB32" s="21" t="s">
        <v>117</v>
      </c>
      <c r="AC32" s="21" t="s">
        <v>117</v>
      </c>
      <c r="AD32" s="21" t="s">
        <v>117</v>
      </c>
      <c r="AE32" s="21" t="s">
        <v>117</v>
      </c>
      <c r="AF32" s="21" t="s">
        <v>117</v>
      </c>
      <c r="AG32" s="21" t="s">
        <v>117</v>
      </c>
      <c r="AH32" s="21" t="s">
        <v>117</v>
      </c>
      <c r="AI32" s="21" t="s">
        <v>117</v>
      </c>
      <c r="AJ32" s="21" t="s">
        <v>117</v>
      </c>
      <c r="AK32" s="21" t="s">
        <v>117</v>
      </c>
      <c r="AL32" s="21" t="s">
        <v>117</v>
      </c>
      <c r="AM32" s="21" t="s">
        <v>117</v>
      </c>
      <c r="AN32" s="21" t="s">
        <v>117</v>
      </c>
    </row>
    <row r="33" spans="1:40" x14ac:dyDescent="0.25">
      <c r="A33" s="21" t="s">
        <v>107</v>
      </c>
      <c r="B33" s="21" t="s">
        <v>117</v>
      </c>
      <c r="C33" s="21" t="s">
        <v>117</v>
      </c>
      <c r="D33" s="26">
        <v>136986301369863</v>
      </c>
      <c r="E33" s="21" t="s">
        <v>117</v>
      </c>
      <c r="F33" s="21" t="s">
        <v>117</v>
      </c>
      <c r="G33" s="21" t="s">
        <v>117</v>
      </c>
      <c r="H33" s="21" t="s">
        <v>117</v>
      </c>
      <c r="I33" s="21" t="s">
        <v>117</v>
      </c>
      <c r="J33" s="21" t="s">
        <v>117</v>
      </c>
      <c r="K33" s="21" t="s">
        <v>117</v>
      </c>
      <c r="L33" s="21" t="s">
        <v>117</v>
      </c>
      <c r="M33" s="21" t="s">
        <v>117</v>
      </c>
      <c r="N33" s="21" t="s">
        <v>117</v>
      </c>
      <c r="O33" s="21" t="s">
        <v>117</v>
      </c>
      <c r="P33" s="21" t="s">
        <v>117</v>
      </c>
      <c r="Q33" s="21" t="s">
        <v>117</v>
      </c>
      <c r="R33" s="21" t="s">
        <v>117</v>
      </c>
      <c r="S33" s="21" t="s">
        <v>117</v>
      </c>
      <c r="T33" s="21" t="s">
        <v>117</v>
      </c>
      <c r="U33" s="21" t="s">
        <v>117</v>
      </c>
      <c r="V33" s="21" t="s">
        <v>117</v>
      </c>
      <c r="W33" s="21" t="s">
        <v>117</v>
      </c>
      <c r="X33" s="21" t="s">
        <v>117</v>
      </c>
      <c r="Y33" s="21" t="s">
        <v>117</v>
      </c>
      <c r="Z33" s="21" t="s">
        <v>117</v>
      </c>
      <c r="AA33" s="21" t="s">
        <v>117</v>
      </c>
      <c r="AB33" s="21" t="s">
        <v>117</v>
      </c>
      <c r="AC33" s="21" t="s">
        <v>117</v>
      </c>
      <c r="AD33" s="21" t="s">
        <v>117</v>
      </c>
      <c r="AE33" s="21" t="s">
        <v>117</v>
      </c>
      <c r="AF33" s="21" t="s">
        <v>117</v>
      </c>
      <c r="AG33" s="21" t="s">
        <v>117</v>
      </c>
      <c r="AH33" s="21" t="s">
        <v>117</v>
      </c>
      <c r="AI33" s="21" t="s">
        <v>117</v>
      </c>
      <c r="AJ33" s="21" t="s">
        <v>117</v>
      </c>
      <c r="AK33" s="21" t="s">
        <v>117</v>
      </c>
      <c r="AL33" s="21" t="s">
        <v>117</v>
      </c>
      <c r="AM33" s="21" t="s">
        <v>117</v>
      </c>
      <c r="AN33" s="21" t="s">
        <v>117</v>
      </c>
    </row>
    <row r="34" spans="1:40" x14ac:dyDescent="0.25">
      <c r="A34" s="21" t="s">
        <v>108</v>
      </c>
      <c r="B34" s="21" t="s">
        <v>117</v>
      </c>
      <c r="C34" s="21" t="s">
        <v>117</v>
      </c>
      <c r="D34" s="21" t="s">
        <v>117</v>
      </c>
      <c r="E34" s="21" t="s">
        <v>117</v>
      </c>
      <c r="F34" s="21" t="s">
        <v>117</v>
      </c>
      <c r="G34" s="21" t="s">
        <v>117</v>
      </c>
      <c r="H34" s="21" t="s">
        <v>117</v>
      </c>
      <c r="I34" s="21" t="s">
        <v>117</v>
      </c>
      <c r="J34" s="21" t="s">
        <v>117</v>
      </c>
      <c r="K34" s="21" t="s">
        <v>117</v>
      </c>
      <c r="L34" s="21" t="s">
        <v>117</v>
      </c>
      <c r="M34" s="21" t="s">
        <v>117</v>
      </c>
      <c r="N34" s="21" t="s">
        <v>117</v>
      </c>
      <c r="O34" s="21" t="s">
        <v>117</v>
      </c>
      <c r="P34" s="21" t="s">
        <v>117</v>
      </c>
      <c r="Q34" s="21" t="s">
        <v>117</v>
      </c>
      <c r="R34" s="21" t="s">
        <v>117</v>
      </c>
      <c r="S34" s="21" t="s">
        <v>117</v>
      </c>
      <c r="T34" s="21" t="s">
        <v>117</v>
      </c>
      <c r="U34" s="21" t="s">
        <v>117</v>
      </c>
      <c r="V34" s="21" t="s">
        <v>117</v>
      </c>
      <c r="W34" s="21" t="s">
        <v>117</v>
      </c>
      <c r="X34" s="21" t="s">
        <v>117</v>
      </c>
      <c r="Y34" s="21" t="s">
        <v>117</v>
      </c>
      <c r="Z34" s="21" t="s">
        <v>117</v>
      </c>
      <c r="AA34" s="21" t="s">
        <v>117</v>
      </c>
      <c r="AB34" s="21" t="s">
        <v>117</v>
      </c>
      <c r="AC34" s="21" t="s">
        <v>117</v>
      </c>
      <c r="AD34" s="21" t="s">
        <v>117</v>
      </c>
      <c r="AE34" s="21" t="s">
        <v>117</v>
      </c>
      <c r="AF34" s="21" t="s">
        <v>117</v>
      </c>
      <c r="AG34" s="21" t="s">
        <v>117</v>
      </c>
      <c r="AH34" s="21" t="s">
        <v>117</v>
      </c>
      <c r="AI34" s="26">
        <v>136986301369863</v>
      </c>
      <c r="AJ34" s="21" t="s">
        <v>117</v>
      </c>
      <c r="AK34" s="21" t="s">
        <v>117</v>
      </c>
      <c r="AL34" s="21" t="s">
        <v>117</v>
      </c>
      <c r="AM34" s="21" t="s">
        <v>117</v>
      </c>
      <c r="AN34" s="21" t="s">
        <v>117</v>
      </c>
    </row>
    <row r="35" spans="1:40" x14ac:dyDescent="0.25">
      <c r="A35" s="21" t="s">
        <v>109</v>
      </c>
      <c r="B35" s="21" t="s">
        <v>117</v>
      </c>
      <c r="C35" s="21" t="s">
        <v>117</v>
      </c>
      <c r="D35" s="21" t="s">
        <v>117</v>
      </c>
      <c r="E35" s="21" t="s">
        <v>117</v>
      </c>
      <c r="F35" s="21" t="s">
        <v>117</v>
      </c>
      <c r="G35" s="21" t="s">
        <v>117</v>
      </c>
      <c r="H35" s="21" t="s">
        <v>117</v>
      </c>
      <c r="I35" s="21" t="s">
        <v>117</v>
      </c>
      <c r="J35" s="21" t="s">
        <v>117</v>
      </c>
      <c r="K35" s="21" t="s">
        <v>117</v>
      </c>
      <c r="L35" s="21" t="s">
        <v>117</v>
      </c>
      <c r="M35" s="21" t="s">
        <v>117</v>
      </c>
      <c r="N35" s="21" t="s">
        <v>117</v>
      </c>
      <c r="O35" s="21" t="s">
        <v>117</v>
      </c>
      <c r="P35" s="21" t="s">
        <v>117</v>
      </c>
      <c r="Q35" s="21" t="s">
        <v>117</v>
      </c>
      <c r="R35" s="21" t="s">
        <v>117</v>
      </c>
      <c r="S35" s="21" t="s">
        <v>117</v>
      </c>
      <c r="T35" s="21" t="s">
        <v>117</v>
      </c>
      <c r="U35" s="21" t="s">
        <v>117</v>
      </c>
      <c r="V35" s="21" t="s">
        <v>117</v>
      </c>
      <c r="W35" s="21" t="s">
        <v>117</v>
      </c>
      <c r="X35" s="26">
        <v>136986301369863</v>
      </c>
      <c r="Y35" s="21" t="s">
        <v>117</v>
      </c>
      <c r="Z35" s="21" t="s">
        <v>117</v>
      </c>
      <c r="AA35" s="21" t="s">
        <v>117</v>
      </c>
      <c r="AB35" s="21" t="s">
        <v>117</v>
      </c>
      <c r="AC35" s="21" t="s">
        <v>117</v>
      </c>
      <c r="AD35" s="21" t="s">
        <v>117</v>
      </c>
      <c r="AE35" s="21" t="s">
        <v>117</v>
      </c>
      <c r="AF35" s="21" t="s">
        <v>117</v>
      </c>
      <c r="AG35" s="21" t="s">
        <v>117</v>
      </c>
      <c r="AH35" s="21" t="s">
        <v>117</v>
      </c>
      <c r="AI35" s="21" t="s">
        <v>117</v>
      </c>
      <c r="AJ35" s="21" t="s">
        <v>117</v>
      </c>
      <c r="AK35" s="21" t="s">
        <v>117</v>
      </c>
      <c r="AL35" s="21" t="s">
        <v>117</v>
      </c>
      <c r="AM35" s="21" t="s">
        <v>117</v>
      </c>
      <c r="AN35" s="21" t="s">
        <v>117</v>
      </c>
    </row>
    <row r="36" spans="1:40" x14ac:dyDescent="0.25">
      <c r="A36" s="21" t="s">
        <v>110</v>
      </c>
      <c r="B36" s="21" t="s">
        <v>117</v>
      </c>
      <c r="C36" s="21" t="s">
        <v>117</v>
      </c>
      <c r="D36" s="21" t="s">
        <v>117</v>
      </c>
      <c r="E36" s="21" t="s">
        <v>117</v>
      </c>
      <c r="F36" s="21" t="s">
        <v>117</v>
      </c>
      <c r="G36" s="21" t="s">
        <v>117</v>
      </c>
      <c r="H36" s="21" t="s">
        <v>117</v>
      </c>
      <c r="I36" s="21" t="s">
        <v>117</v>
      </c>
      <c r="J36" s="21" t="s">
        <v>117</v>
      </c>
      <c r="K36" s="21" t="s">
        <v>117</v>
      </c>
      <c r="L36" s="21" t="s">
        <v>117</v>
      </c>
      <c r="M36" s="21" t="s">
        <v>117</v>
      </c>
      <c r="N36" s="21" t="s">
        <v>117</v>
      </c>
      <c r="O36" s="21" t="s">
        <v>117</v>
      </c>
      <c r="P36" s="21" t="s">
        <v>117</v>
      </c>
      <c r="Q36" s="21" t="s">
        <v>117</v>
      </c>
      <c r="R36" s="21" t="s">
        <v>117</v>
      </c>
      <c r="S36" s="21" t="s">
        <v>117</v>
      </c>
      <c r="T36" s="21" t="s">
        <v>117</v>
      </c>
      <c r="U36" s="21" t="s">
        <v>117</v>
      </c>
      <c r="V36" s="21" t="s">
        <v>117</v>
      </c>
      <c r="W36" s="21" t="s">
        <v>117</v>
      </c>
      <c r="X36" s="26">
        <v>136986301369863</v>
      </c>
      <c r="Y36" s="21" t="s">
        <v>117</v>
      </c>
      <c r="Z36" s="21" t="s">
        <v>117</v>
      </c>
      <c r="AA36" s="21" t="s">
        <v>117</v>
      </c>
      <c r="AB36" s="21" t="s">
        <v>117</v>
      </c>
      <c r="AC36" s="21" t="s">
        <v>117</v>
      </c>
      <c r="AD36" s="21" t="s">
        <v>117</v>
      </c>
      <c r="AE36" s="21" t="s">
        <v>117</v>
      </c>
      <c r="AF36" s="21" t="s">
        <v>117</v>
      </c>
      <c r="AG36" s="21" t="s">
        <v>117</v>
      </c>
      <c r="AH36" s="21" t="s">
        <v>117</v>
      </c>
      <c r="AI36" s="21" t="s">
        <v>117</v>
      </c>
      <c r="AJ36" s="21" t="s">
        <v>117</v>
      </c>
      <c r="AK36" s="21" t="s">
        <v>117</v>
      </c>
      <c r="AL36" s="21" t="s">
        <v>117</v>
      </c>
      <c r="AM36" s="21" t="s">
        <v>117</v>
      </c>
      <c r="AN36" s="21" t="s">
        <v>117</v>
      </c>
    </row>
    <row r="37" spans="1:40" x14ac:dyDescent="0.25">
      <c r="A37" s="21" t="s">
        <v>111</v>
      </c>
      <c r="B37" s="21" t="s">
        <v>117</v>
      </c>
      <c r="C37" s="21" t="s">
        <v>117</v>
      </c>
      <c r="D37" s="21" t="s">
        <v>117</v>
      </c>
      <c r="E37" s="21" t="s">
        <v>117</v>
      </c>
      <c r="F37" s="21" t="s">
        <v>117</v>
      </c>
      <c r="G37" s="21" t="s">
        <v>117</v>
      </c>
      <c r="H37" s="21" t="s">
        <v>117</v>
      </c>
      <c r="I37" s="21" t="s">
        <v>117</v>
      </c>
      <c r="J37" s="21" t="s">
        <v>117</v>
      </c>
      <c r="K37" s="21" t="s">
        <v>117</v>
      </c>
      <c r="L37" s="21" t="s">
        <v>117</v>
      </c>
      <c r="M37" s="21" t="s">
        <v>117</v>
      </c>
      <c r="N37" s="21" t="s">
        <v>117</v>
      </c>
      <c r="O37" s="21" t="s">
        <v>117</v>
      </c>
      <c r="P37" s="21" t="s">
        <v>117</v>
      </c>
      <c r="Q37" s="21" t="s">
        <v>117</v>
      </c>
      <c r="R37" s="21" t="s">
        <v>117</v>
      </c>
      <c r="S37" s="26">
        <v>136986301369863</v>
      </c>
      <c r="T37" s="21" t="s">
        <v>117</v>
      </c>
      <c r="U37" s="21" t="s">
        <v>117</v>
      </c>
      <c r="V37" s="21" t="s">
        <v>117</v>
      </c>
      <c r="W37" s="21" t="s">
        <v>117</v>
      </c>
      <c r="X37" s="21" t="s">
        <v>117</v>
      </c>
      <c r="Y37" s="21" t="s">
        <v>117</v>
      </c>
      <c r="Z37" s="21" t="s">
        <v>117</v>
      </c>
      <c r="AA37" s="21" t="s">
        <v>117</v>
      </c>
      <c r="AB37" s="21" t="s">
        <v>117</v>
      </c>
      <c r="AC37" s="21" t="s">
        <v>117</v>
      </c>
      <c r="AD37" s="21" t="s">
        <v>117</v>
      </c>
      <c r="AE37" s="21" t="s">
        <v>117</v>
      </c>
      <c r="AF37" s="21" t="s">
        <v>117</v>
      </c>
      <c r="AG37" s="21" t="s">
        <v>117</v>
      </c>
      <c r="AH37" s="21" t="s">
        <v>117</v>
      </c>
      <c r="AI37" s="21" t="s">
        <v>117</v>
      </c>
      <c r="AJ37" s="21" t="s">
        <v>117</v>
      </c>
      <c r="AK37" s="21" t="s">
        <v>117</v>
      </c>
      <c r="AL37" s="21" t="s">
        <v>117</v>
      </c>
      <c r="AM37" s="21" t="s">
        <v>117</v>
      </c>
      <c r="AN37" s="21" t="s">
        <v>117</v>
      </c>
    </row>
    <row r="38" spans="1:40" x14ac:dyDescent="0.25">
      <c r="A38" s="21" t="s">
        <v>112</v>
      </c>
      <c r="B38" s="21" t="s">
        <v>117</v>
      </c>
      <c r="C38" s="21" t="s">
        <v>117</v>
      </c>
      <c r="D38" s="21" t="s">
        <v>117</v>
      </c>
      <c r="E38" s="21" t="s">
        <v>117</v>
      </c>
      <c r="F38" s="26">
        <v>136986301369863</v>
      </c>
      <c r="G38" s="21" t="s">
        <v>117</v>
      </c>
      <c r="H38" s="21" t="s">
        <v>117</v>
      </c>
      <c r="I38" s="21" t="s">
        <v>117</v>
      </c>
      <c r="J38" s="21" t="s">
        <v>117</v>
      </c>
      <c r="K38" s="21" t="s">
        <v>117</v>
      </c>
      <c r="L38" s="21" t="s">
        <v>117</v>
      </c>
      <c r="M38" s="21" t="s">
        <v>117</v>
      </c>
      <c r="N38" s="21" t="s">
        <v>117</v>
      </c>
      <c r="O38" s="21" t="s">
        <v>117</v>
      </c>
      <c r="P38" s="21" t="s">
        <v>117</v>
      </c>
      <c r="Q38" s="21" t="s">
        <v>117</v>
      </c>
      <c r="R38" s="21" t="s">
        <v>117</v>
      </c>
      <c r="S38" s="21" t="s">
        <v>117</v>
      </c>
      <c r="T38" s="21" t="s">
        <v>117</v>
      </c>
      <c r="U38" s="21" t="s">
        <v>117</v>
      </c>
      <c r="V38" s="21" t="s">
        <v>117</v>
      </c>
      <c r="W38" s="21" t="s">
        <v>117</v>
      </c>
      <c r="X38" s="21" t="s">
        <v>117</v>
      </c>
      <c r="Y38" s="21" t="s">
        <v>117</v>
      </c>
      <c r="Z38" s="21" t="s">
        <v>117</v>
      </c>
      <c r="AA38" s="21" t="s">
        <v>117</v>
      </c>
      <c r="AB38" s="21" t="s">
        <v>117</v>
      </c>
      <c r="AC38" s="21" t="s">
        <v>117</v>
      </c>
      <c r="AD38" s="21" t="s">
        <v>117</v>
      </c>
      <c r="AE38" s="21" t="s">
        <v>117</v>
      </c>
      <c r="AF38" s="21" t="s">
        <v>117</v>
      </c>
      <c r="AG38" s="21" t="s">
        <v>117</v>
      </c>
      <c r="AH38" s="21" t="s">
        <v>117</v>
      </c>
      <c r="AI38" s="21" t="s">
        <v>117</v>
      </c>
      <c r="AJ38" s="21" t="s">
        <v>117</v>
      </c>
      <c r="AK38" s="21" t="s">
        <v>117</v>
      </c>
      <c r="AL38" s="21" t="s">
        <v>117</v>
      </c>
      <c r="AM38" s="21" t="s">
        <v>117</v>
      </c>
      <c r="AN38" s="21" t="s">
        <v>117</v>
      </c>
    </row>
    <row r="39" spans="1:40" x14ac:dyDescent="0.25">
      <c r="A39" s="21" t="s">
        <v>113</v>
      </c>
      <c r="B39" s="21" t="s">
        <v>117</v>
      </c>
      <c r="C39" s="21" t="s">
        <v>117</v>
      </c>
      <c r="D39" s="21" t="s">
        <v>117</v>
      </c>
      <c r="E39" s="21" t="s">
        <v>117</v>
      </c>
      <c r="F39" s="26">
        <v>136986301369863</v>
      </c>
      <c r="G39" s="21" t="s">
        <v>117</v>
      </c>
      <c r="H39" s="21" t="s">
        <v>117</v>
      </c>
      <c r="I39" s="21" t="s">
        <v>117</v>
      </c>
      <c r="J39" s="21" t="s">
        <v>117</v>
      </c>
      <c r="K39" s="21" t="s">
        <v>117</v>
      </c>
      <c r="L39" s="21" t="s">
        <v>117</v>
      </c>
      <c r="M39" s="21" t="s">
        <v>117</v>
      </c>
      <c r="N39" s="21" t="s">
        <v>117</v>
      </c>
      <c r="O39" s="21" t="s">
        <v>117</v>
      </c>
      <c r="P39" s="21" t="s">
        <v>117</v>
      </c>
      <c r="Q39" s="21" t="s">
        <v>117</v>
      </c>
      <c r="R39" s="21" t="s">
        <v>117</v>
      </c>
      <c r="S39" s="21" t="s">
        <v>117</v>
      </c>
      <c r="T39" s="21" t="s">
        <v>117</v>
      </c>
      <c r="U39" s="21" t="s">
        <v>117</v>
      </c>
      <c r="V39" s="21" t="s">
        <v>117</v>
      </c>
      <c r="W39" s="21" t="s">
        <v>117</v>
      </c>
      <c r="X39" s="21" t="s">
        <v>117</v>
      </c>
      <c r="Y39" s="21" t="s">
        <v>117</v>
      </c>
      <c r="Z39" s="21" t="s">
        <v>117</v>
      </c>
      <c r="AA39" s="21" t="s">
        <v>117</v>
      </c>
      <c r="AB39" s="21" t="s">
        <v>117</v>
      </c>
      <c r="AC39" s="21" t="s">
        <v>117</v>
      </c>
      <c r="AD39" s="21" t="s">
        <v>117</v>
      </c>
      <c r="AE39" s="21" t="s">
        <v>117</v>
      </c>
      <c r="AF39" s="21" t="s">
        <v>117</v>
      </c>
      <c r="AG39" s="21" t="s">
        <v>117</v>
      </c>
      <c r="AH39" s="21" t="s">
        <v>117</v>
      </c>
      <c r="AI39" s="21" t="s">
        <v>117</v>
      </c>
      <c r="AJ39" s="21" t="s">
        <v>117</v>
      </c>
      <c r="AK39" s="21" t="s">
        <v>117</v>
      </c>
      <c r="AL39" s="21" t="s">
        <v>117</v>
      </c>
      <c r="AM39" s="21" t="s">
        <v>117</v>
      </c>
      <c r="AN39" s="21" t="s">
        <v>117</v>
      </c>
    </row>
    <row r="40" spans="1:40" x14ac:dyDescent="0.25">
      <c r="A40" s="21" t="s">
        <v>114</v>
      </c>
      <c r="B40" s="21" t="s">
        <v>117</v>
      </c>
      <c r="C40" s="21" t="s">
        <v>117</v>
      </c>
      <c r="D40" s="21" t="s">
        <v>117</v>
      </c>
      <c r="E40" s="21" t="s">
        <v>117</v>
      </c>
      <c r="F40" s="21" t="s">
        <v>117</v>
      </c>
      <c r="G40" s="21" t="s">
        <v>117</v>
      </c>
      <c r="H40" s="21" t="s">
        <v>117</v>
      </c>
      <c r="I40" s="21" t="s">
        <v>117</v>
      </c>
      <c r="J40" s="21" t="s">
        <v>117</v>
      </c>
      <c r="K40" s="21" t="s">
        <v>117</v>
      </c>
      <c r="L40" s="21" t="s">
        <v>117</v>
      </c>
      <c r="M40" s="21" t="s">
        <v>117</v>
      </c>
      <c r="N40" s="21" t="s">
        <v>117</v>
      </c>
      <c r="O40" s="21" t="s">
        <v>117</v>
      </c>
      <c r="P40" s="21" t="s">
        <v>117</v>
      </c>
      <c r="Q40" s="21" t="s">
        <v>117</v>
      </c>
      <c r="R40" s="21" t="s">
        <v>117</v>
      </c>
      <c r="S40" s="26">
        <v>136986301369863</v>
      </c>
      <c r="T40" s="21" t="s">
        <v>117</v>
      </c>
      <c r="U40" s="21" t="s">
        <v>117</v>
      </c>
      <c r="V40" s="21" t="s">
        <v>117</v>
      </c>
      <c r="W40" s="21" t="s">
        <v>117</v>
      </c>
      <c r="X40" s="21" t="s">
        <v>117</v>
      </c>
      <c r="Y40" s="21" t="s">
        <v>117</v>
      </c>
      <c r="Z40" s="21" t="s">
        <v>117</v>
      </c>
      <c r="AA40" s="21" t="s">
        <v>117</v>
      </c>
      <c r="AB40" s="21" t="s">
        <v>117</v>
      </c>
      <c r="AC40" s="21" t="s">
        <v>117</v>
      </c>
      <c r="AD40" s="21" t="s">
        <v>117</v>
      </c>
      <c r="AE40" s="21" t="s">
        <v>117</v>
      </c>
      <c r="AF40" s="21" t="s">
        <v>117</v>
      </c>
      <c r="AG40" s="21" t="s">
        <v>117</v>
      </c>
      <c r="AH40" s="21" t="s">
        <v>117</v>
      </c>
      <c r="AI40" s="21" t="s">
        <v>117</v>
      </c>
      <c r="AJ40" s="21" t="s">
        <v>117</v>
      </c>
      <c r="AK40" s="21" t="s">
        <v>117</v>
      </c>
      <c r="AL40" s="21" t="s">
        <v>117</v>
      </c>
      <c r="AM40" s="21" t="s">
        <v>117</v>
      </c>
      <c r="AN40" s="2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Resource-Activity Matrix by han</vt:lpstr>
      <vt:lpstr>Actual Resource-Activity Matrix</vt:lpstr>
      <vt:lpstr>Handover Matrix by hand</vt:lpstr>
      <vt:lpstr>Actual Handover Matrix from cod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Veldhorst, Friso</cp:lastModifiedBy>
  <dcterms:modified xsi:type="dcterms:W3CDTF">2025-11-04T13:13:52Z</dcterms:modified>
</cp:coreProperties>
</file>